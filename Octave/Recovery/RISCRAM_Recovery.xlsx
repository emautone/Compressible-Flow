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uardo\Dropbox\RISCRAM\RISCRAM_Cycle\Library\CompressiveFlow\Recovery\"/>
    </mc:Choice>
  </mc:AlternateContent>
  <bookViews>
    <workbookView xWindow="0" yWindow="0" windowWidth="19200" windowHeight="7035" activeTab="4"/>
  </bookViews>
  <sheets>
    <sheet name="AtmosphereISA" sheetId="2" r:id="rId1"/>
    <sheet name="Recovery" sheetId="1" r:id="rId2"/>
    <sheet name="FlightPath" sheetId="5" r:id="rId3"/>
    <sheet name="Pressure" sheetId="3" r:id="rId4"/>
    <sheet name="Temperature" sheetId="6" r:id="rId5"/>
  </sheets>
  <definedNames>
    <definedName name="Atmosphere" localSheetId="0">AtmosphereISA!$B$2:$K$142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5" l="1"/>
  <c r="D10" i="5"/>
  <c r="E11" i="5" l="1"/>
  <c r="E8" i="5"/>
  <c r="E9" i="5" s="1"/>
  <c r="E7" i="5"/>
  <c r="E6" i="5"/>
  <c r="E5" i="5"/>
  <c r="E4" i="5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D11" i="5"/>
  <c r="D8" i="5"/>
  <c r="D9" i="5" s="1"/>
  <c r="D7" i="5"/>
  <c r="D6" i="5"/>
  <c r="D5" i="5"/>
  <c r="D4" i="5"/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7" i="1"/>
  <c r="H21" i="1"/>
  <c r="H27" i="1"/>
  <c r="H57" i="1"/>
  <c r="H63" i="1"/>
  <c r="H80" i="1"/>
  <c r="H81" i="1"/>
  <c r="H98" i="1"/>
  <c r="H99" i="1"/>
  <c r="H116" i="1"/>
  <c r="H117" i="1"/>
  <c r="H134" i="1"/>
  <c r="H13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6" i="1"/>
  <c r="Q3" i="1"/>
  <c r="Q2" i="1"/>
  <c r="O3" i="1"/>
  <c r="O2" i="1"/>
  <c r="M2" i="1"/>
  <c r="M3" i="1" s="1"/>
  <c r="K2" i="1"/>
  <c r="K3" i="1"/>
  <c r="I2" i="1"/>
  <c r="H15" i="1" s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5" i="1"/>
  <c r="P142" i="2"/>
  <c r="N142" i="2"/>
  <c r="M142" i="2"/>
  <c r="J142" i="2"/>
  <c r="L142" i="2" s="1"/>
  <c r="G142" i="2"/>
  <c r="D142" i="2"/>
  <c r="J141" i="2"/>
  <c r="G141" i="2"/>
  <c r="D141" i="2"/>
  <c r="R140" i="2"/>
  <c r="P140" i="2"/>
  <c r="O140" i="2"/>
  <c r="L140" i="2"/>
  <c r="J140" i="2"/>
  <c r="N140" i="2" s="1"/>
  <c r="G140" i="2"/>
  <c r="Q140" i="2" s="1"/>
  <c r="D140" i="2"/>
  <c r="P139" i="2"/>
  <c r="N139" i="2"/>
  <c r="M139" i="2"/>
  <c r="J139" i="2"/>
  <c r="L139" i="2" s="1"/>
  <c r="G139" i="2"/>
  <c r="D139" i="2"/>
  <c r="R138" i="2"/>
  <c r="Q138" i="2"/>
  <c r="N138" i="2"/>
  <c r="L138" i="2"/>
  <c r="J138" i="2"/>
  <c r="G138" i="2"/>
  <c r="D138" i="2"/>
  <c r="P137" i="2"/>
  <c r="O137" i="2"/>
  <c r="L137" i="2"/>
  <c r="J137" i="2"/>
  <c r="N137" i="2" s="1"/>
  <c r="G137" i="2"/>
  <c r="D137" i="2"/>
  <c r="P136" i="2"/>
  <c r="N136" i="2"/>
  <c r="M136" i="2"/>
  <c r="J136" i="2"/>
  <c r="L136" i="2" s="1"/>
  <c r="G136" i="2"/>
  <c r="D136" i="2"/>
  <c r="J135" i="2"/>
  <c r="Q135" i="2" s="1"/>
  <c r="G135" i="2"/>
  <c r="D135" i="2"/>
  <c r="R134" i="2"/>
  <c r="P134" i="2"/>
  <c r="O134" i="2"/>
  <c r="L134" i="2"/>
  <c r="J134" i="2"/>
  <c r="N134" i="2" s="1"/>
  <c r="G134" i="2"/>
  <c r="Q134" i="2" s="1"/>
  <c r="D134" i="2"/>
  <c r="P133" i="2"/>
  <c r="N133" i="2"/>
  <c r="M133" i="2"/>
  <c r="J133" i="2"/>
  <c r="L133" i="2" s="1"/>
  <c r="G133" i="2"/>
  <c r="D133" i="2"/>
  <c r="J132" i="2"/>
  <c r="G132" i="2"/>
  <c r="D132" i="2"/>
  <c r="R131" i="2"/>
  <c r="P131" i="2"/>
  <c r="O131" i="2"/>
  <c r="L131" i="2"/>
  <c r="J131" i="2"/>
  <c r="N131" i="2" s="1"/>
  <c r="G131" i="2"/>
  <c r="Q131" i="2" s="1"/>
  <c r="D131" i="2"/>
  <c r="P130" i="2"/>
  <c r="N130" i="2"/>
  <c r="M130" i="2"/>
  <c r="J130" i="2"/>
  <c r="L130" i="2" s="1"/>
  <c r="G130" i="2"/>
  <c r="D130" i="2"/>
  <c r="R129" i="2"/>
  <c r="Q129" i="2"/>
  <c r="N129" i="2"/>
  <c r="L129" i="2"/>
  <c r="J129" i="2"/>
  <c r="G129" i="2"/>
  <c r="D129" i="2"/>
  <c r="P128" i="2"/>
  <c r="O128" i="2"/>
  <c r="L128" i="2"/>
  <c r="J128" i="2"/>
  <c r="N128" i="2" s="1"/>
  <c r="G128" i="2"/>
  <c r="D128" i="2"/>
  <c r="P127" i="2"/>
  <c r="N127" i="2"/>
  <c r="M127" i="2"/>
  <c r="J127" i="2"/>
  <c r="L127" i="2" s="1"/>
  <c r="G127" i="2"/>
  <c r="D127" i="2"/>
  <c r="J126" i="2"/>
  <c r="Q126" i="2" s="1"/>
  <c r="G126" i="2"/>
  <c r="D126" i="2"/>
  <c r="R125" i="2"/>
  <c r="P125" i="2"/>
  <c r="O125" i="2"/>
  <c r="L125" i="2"/>
  <c r="J125" i="2"/>
  <c r="N125" i="2" s="1"/>
  <c r="G125" i="2"/>
  <c r="Q125" i="2" s="1"/>
  <c r="D125" i="2"/>
  <c r="P124" i="2"/>
  <c r="N124" i="2"/>
  <c r="M124" i="2"/>
  <c r="J124" i="2"/>
  <c r="L124" i="2" s="1"/>
  <c r="G124" i="2"/>
  <c r="D124" i="2"/>
  <c r="J123" i="2"/>
  <c r="G123" i="2"/>
  <c r="D123" i="2"/>
  <c r="P122" i="2"/>
  <c r="O122" i="2"/>
  <c r="N122" i="2"/>
  <c r="M122" i="2"/>
  <c r="L122" i="2"/>
  <c r="J122" i="2"/>
  <c r="G122" i="2"/>
  <c r="D122" i="2"/>
  <c r="P121" i="2"/>
  <c r="N121" i="2"/>
  <c r="M121" i="2"/>
  <c r="J121" i="2"/>
  <c r="L121" i="2" s="1"/>
  <c r="G121" i="2"/>
  <c r="D121" i="2"/>
  <c r="J120" i="2"/>
  <c r="Q120" i="2" s="1"/>
  <c r="G120" i="2"/>
  <c r="D120" i="2"/>
  <c r="R119" i="2"/>
  <c r="P119" i="2"/>
  <c r="O119" i="2"/>
  <c r="N119" i="2"/>
  <c r="M119" i="2"/>
  <c r="L119" i="2"/>
  <c r="J119" i="2"/>
  <c r="G119" i="2"/>
  <c r="Q119" i="2" s="1"/>
  <c r="D119" i="2"/>
  <c r="P118" i="2"/>
  <c r="N118" i="2"/>
  <c r="M118" i="2"/>
  <c r="J118" i="2"/>
  <c r="L118" i="2" s="1"/>
  <c r="G118" i="2"/>
  <c r="D118" i="2"/>
  <c r="R117" i="2"/>
  <c r="Q117" i="2"/>
  <c r="N117" i="2"/>
  <c r="L117" i="2"/>
  <c r="J117" i="2"/>
  <c r="G117" i="2"/>
  <c r="D117" i="2"/>
  <c r="P116" i="2"/>
  <c r="O116" i="2"/>
  <c r="N116" i="2"/>
  <c r="M116" i="2"/>
  <c r="L116" i="2"/>
  <c r="J116" i="2"/>
  <c r="G116" i="2"/>
  <c r="D116" i="2"/>
  <c r="P115" i="2"/>
  <c r="N115" i="2"/>
  <c r="M115" i="2"/>
  <c r="J115" i="2"/>
  <c r="L115" i="2" s="1"/>
  <c r="G115" i="2"/>
  <c r="D115" i="2"/>
  <c r="N114" i="2"/>
  <c r="J114" i="2"/>
  <c r="G114" i="2"/>
  <c r="D114" i="2"/>
  <c r="P113" i="2"/>
  <c r="O113" i="2"/>
  <c r="N113" i="2"/>
  <c r="M113" i="2"/>
  <c r="L113" i="2"/>
  <c r="J113" i="2"/>
  <c r="G113" i="2"/>
  <c r="D113" i="2"/>
  <c r="P112" i="2"/>
  <c r="N112" i="2"/>
  <c r="M112" i="2"/>
  <c r="J112" i="2"/>
  <c r="L112" i="2" s="1"/>
  <c r="G112" i="2"/>
  <c r="D112" i="2"/>
  <c r="R111" i="2"/>
  <c r="J111" i="2"/>
  <c r="G111" i="2"/>
  <c r="D111" i="2"/>
  <c r="R110" i="2"/>
  <c r="P110" i="2"/>
  <c r="O110" i="2"/>
  <c r="N110" i="2"/>
  <c r="M110" i="2"/>
  <c r="L110" i="2"/>
  <c r="J110" i="2"/>
  <c r="G110" i="2"/>
  <c r="Q110" i="2" s="1"/>
  <c r="D110" i="2"/>
  <c r="P109" i="2"/>
  <c r="N109" i="2"/>
  <c r="M109" i="2"/>
  <c r="L109" i="2"/>
  <c r="J109" i="2"/>
  <c r="O109" i="2" s="1"/>
  <c r="G109" i="2"/>
  <c r="D109" i="2"/>
  <c r="R108" i="2"/>
  <c r="Q108" i="2"/>
  <c r="N108" i="2"/>
  <c r="J108" i="2"/>
  <c r="G108" i="2"/>
  <c r="D108" i="2"/>
  <c r="R107" i="2"/>
  <c r="P107" i="2"/>
  <c r="O107" i="2"/>
  <c r="N107" i="2"/>
  <c r="M107" i="2"/>
  <c r="L107" i="2"/>
  <c r="J107" i="2"/>
  <c r="G107" i="2"/>
  <c r="Q107" i="2" s="1"/>
  <c r="D107" i="2"/>
  <c r="P106" i="2"/>
  <c r="N106" i="2"/>
  <c r="M106" i="2"/>
  <c r="J106" i="2"/>
  <c r="L106" i="2" s="1"/>
  <c r="G106" i="2"/>
  <c r="D106" i="2"/>
  <c r="Q105" i="2"/>
  <c r="J105" i="2"/>
  <c r="G105" i="2"/>
  <c r="D105" i="2"/>
  <c r="R104" i="2"/>
  <c r="P104" i="2"/>
  <c r="O104" i="2"/>
  <c r="N104" i="2"/>
  <c r="M104" i="2"/>
  <c r="L104" i="2"/>
  <c r="J104" i="2"/>
  <c r="G104" i="2"/>
  <c r="Q104" i="2" s="1"/>
  <c r="D104" i="2"/>
  <c r="P103" i="2"/>
  <c r="N103" i="2"/>
  <c r="M103" i="2"/>
  <c r="L103" i="2"/>
  <c r="J103" i="2"/>
  <c r="O103" i="2" s="1"/>
  <c r="G103" i="2"/>
  <c r="D103" i="2"/>
  <c r="N102" i="2"/>
  <c r="J102" i="2"/>
  <c r="G102" i="2"/>
  <c r="D102" i="2"/>
  <c r="P101" i="2"/>
  <c r="O101" i="2"/>
  <c r="N101" i="2"/>
  <c r="M101" i="2"/>
  <c r="L101" i="2"/>
  <c r="J101" i="2"/>
  <c r="G101" i="2"/>
  <c r="D101" i="2"/>
  <c r="P100" i="2"/>
  <c r="N100" i="2"/>
  <c r="M100" i="2"/>
  <c r="J100" i="2"/>
  <c r="L100" i="2" s="1"/>
  <c r="G100" i="2"/>
  <c r="D100" i="2"/>
  <c r="J99" i="2"/>
  <c r="G99" i="2"/>
  <c r="D99" i="2"/>
  <c r="R98" i="2"/>
  <c r="P98" i="2"/>
  <c r="O98" i="2"/>
  <c r="N98" i="2"/>
  <c r="M98" i="2"/>
  <c r="L98" i="2"/>
  <c r="J98" i="2"/>
  <c r="G98" i="2"/>
  <c r="Q98" i="2" s="1"/>
  <c r="D98" i="2"/>
  <c r="P97" i="2"/>
  <c r="N97" i="2"/>
  <c r="M97" i="2"/>
  <c r="L97" i="2"/>
  <c r="J97" i="2"/>
  <c r="O97" i="2" s="1"/>
  <c r="G97" i="2"/>
  <c r="D97" i="2"/>
  <c r="R96" i="2"/>
  <c r="Q96" i="2"/>
  <c r="N96" i="2"/>
  <c r="J96" i="2"/>
  <c r="G96" i="2"/>
  <c r="D96" i="2"/>
  <c r="R95" i="2"/>
  <c r="P95" i="2"/>
  <c r="O95" i="2"/>
  <c r="N95" i="2"/>
  <c r="M95" i="2"/>
  <c r="L95" i="2"/>
  <c r="J95" i="2"/>
  <c r="G95" i="2"/>
  <c r="Q95" i="2" s="1"/>
  <c r="D95" i="2"/>
  <c r="P94" i="2"/>
  <c r="N94" i="2"/>
  <c r="M94" i="2"/>
  <c r="L94" i="2"/>
  <c r="J94" i="2"/>
  <c r="O94" i="2" s="1"/>
  <c r="G94" i="2"/>
  <c r="D94" i="2"/>
  <c r="R93" i="2"/>
  <c r="Q93" i="2"/>
  <c r="N93" i="2"/>
  <c r="L93" i="2"/>
  <c r="J93" i="2"/>
  <c r="G93" i="2"/>
  <c r="D93" i="2"/>
  <c r="P92" i="2"/>
  <c r="O92" i="2"/>
  <c r="N92" i="2"/>
  <c r="M92" i="2"/>
  <c r="L92" i="2"/>
  <c r="J92" i="2"/>
  <c r="G92" i="2"/>
  <c r="D92" i="2"/>
  <c r="P91" i="2"/>
  <c r="N91" i="2"/>
  <c r="M91" i="2"/>
  <c r="L91" i="2"/>
  <c r="J91" i="2"/>
  <c r="O91" i="2" s="1"/>
  <c r="G91" i="2"/>
  <c r="D91" i="2"/>
  <c r="L90" i="2"/>
  <c r="J90" i="2"/>
  <c r="G90" i="2"/>
  <c r="D90" i="2"/>
  <c r="R89" i="2"/>
  <c r="P89" i="2"/>
  <c r="O89" i="2"/>
  <c r="N89" i="2"/>
  <c r="M89" i="2"/>
  <c r="L89" i="2"/>
  <c r="J89" i="2"/>
  <c r="G89" i="2"/>
  <c r="Q89" i="2" s="1"/>
  <c r="D89" i="2"/>
  <c r="P88" i="2"/>
  <c r="N88" i="2"/>
  <c r="M88" i="2"/>
  <c r="L88" i="2"/>
  <c r="J88" i="2"/>
  <c r="O88" i="2" s="1"/>
  <c r="G88" i="2"/>
  <c r="D88" i="2"/>
  <c r="J87" i="2"/>
  <c r="N87" i="2" s="1"/>
  <c r="G87" i="2"/>
  <c r="D87" i="2"/>
  <c r="P86" i="2"/>
  <c r="O86" i="2"/>
  <c r="N86" i="2"/>
  <c r="M86" i="2"/>
  <c r="L86" i="2"/>
  <c r="J86" i="2"/>
  <c r="G86" i="2"/>
  <c r="D86" i="2"/>
  <c r="P85" i="2"/>
  <c r="N85" i="2"/>
  <c r="M85" i="2"/>
  <c r="L85" i="2"/>
  <c r="J85" i="2"/>
  <c r="O85" i="2" s="1"/>
  <c r="G85" i="2"/>
  <c r="D85" i="2"/>
  <c r="R84" i="2"/>
  <c r="L84" i="2"/>
  <c r="J84" i="2"/>
  <c r="G84" i="2"/>
  <c r="D84" i="2"/>
  <c r="P83" i="2"/>
  <c r="O83" i="2"/>
  <c r="N83" i="2"/>
  <c r="M83" i="2"/>
  <c r="L83" i="2"/>
  <c r="J83" i="2"/>
  <c r="G83" i="2"/>
  <c r="Q83" i="2" s="1"/>
  <c r="D83" i="2"/>
  <c r="P82" i="2"/>
  <c r="N82" i="2"/>
  <c r="M82" i="2"/>
  <c r="J82" i="2"/>
  <c r="L82" i="2" s="1"/>
  <c r="G82" i="2"/>
  <c r="D82" i="2"/>
  <c r="R81" i="2"/>
  <c r="Q81" i="2"/>
  <c r="N81" i="2"/>
  <c r="J81" i="2"/>
  <c r="G81" i="2"/>
  <c r="D81" i="2"/>
  <c r="P80" i="2"/>
  <c r="O80" i="2"/>
  <c r="N80" i="2"/>
  <c r="M80" i="2"/>
  <c r="L80" i="2"/>
  <c r="J80" i="2"/>
  <c r="G80" i="2"/>
  <c r="Q80" i="2" s="1"/>
  <c r="D80" i="2"/>
  <c r="P79" i="2"/>
  <c r="N79" i="2"/>
  <c r="M79" i="2"/>
  <c r="J79" i="2"/>
  <c r="L79" i="2" s="1"/>
  <c r="G79" i="2"/>
  <c r="D79" i="2"/>
  <c r="Q78" i="2"/>
  <c r="O78" i="2"/>
  <c r="N78" i="2"/>
  <c r="L78" i="2"/>
  <c r="J78" i="2"/>
  <c r="G78" i="2"/>
  <c r="R78" i="2" s="1"/>
  <c r="D78" i="2"/>
  <c r="P77" i="2"/>
  <c r="O77" i="2"/>
  <c r="N77" i="2"/>
  <c r="M77" i="2"/>
  <c r="L77" i="2"/>
  <c r="J77" i="2"/>
  <c r="G77" i="2"/>
  <c r="D77" i="2"/>
  <c r="P76" i="2"/>
  <c r="N76" i="2"/>
  <c r="M76" i="2"/>
  <c r="L76" i="2"/>
  <c r="J76" i="2"/>
  <c r="O76" i="2" s="1"/>
  <c r="G76" i="2"/>
  <c r="R76" i="2" s="1"/>
  <c r="D76" i="2"/>
  <c r="P75" i="2"/>
  <c r="L75" i="2"/>
  <c r="J75" i="2"/>
  <c r="M75" i="2" s="1"/>
  <c r="G75" i="2"/>
  <c r="R75" i="2" s="1"/>
  <c r="D75" i="2"/>
  <c r="P74" i="2"/>
  <c r="O74" i="2"/>
  <c r="N74" i="2"/>
  <c r="M74" i="2"/>
  <c r="L74" i="2"/>
  <c r="J74" i="2"/>
  <c r="G74" i="2"/>
  <c r="Q74" i="2" s="1"/>
  <c r="D74" i="2"/>
  <c r="Q73" i="2"/>
  <c r="P73" i="2"/>
  <c r="L73" i="2"/>
  <c r="J73" i="2"/>
  <c r="O73" i="2" s="1"/>
  <c r="G73" i="2"/>
  <c r="R73" i="2" s="1"/>
  <c r="D73" i="2"/>
  <c r="P72" i="2"/>
  <c r="O72" i="2"/>
  <c r="N72" i="2"/>
  <c r="L72" i="2"/>
  <c r="J72" i="2"/>
  <c r="M72" i="2" s="1"/>
  <c r="G72" i="2"/>
  <c r="R72" i="2" s="1"/>
  <c r="D72" i="2"/>
  <c r="P71" i="2"/>
  <c r="O71" i="2"/>
  <c r="N71" i="2"/>
  <c r="M71" i="2"/>
  <c r="L71" i="2"/>
  <c r="J71" i="2"/>
  <c r="G71" i="2"/>
  <c r="D71" i="2"/>
  <c r="P70" i="2"/>
  <c r="N70" i="2"/>
  <c r="M70" i="2"/>
  <c r="L70" i="2"/>
  <c r="J70" i="2"/>
  <c r="O70" i="2" s="1"/>
  <c r="G70" i="2"/>
  <c r="R70" i="2" s="1"/>
  <c r="D70" i="2"/>
  <c r="P69" i="2"/>
  <c r="L69" i="2"/>
  <c r="J69" i="2"/>
  <c r="M69" i="2" s="1"/>
  <c r="G69" i="2"/>
  <c r="R69" i="2" s="1"/>
  <c r="D69" i="2"/>
  <c r="P68" i="2"/>
  <c r="O68" i="2"/>
  <c r="N68" i="2"/>
  <c r="M68" i="2"/>
  <c r="L68" i="2"/>
  <c r="J68" i="2"/>
  <c r="G68" i="2"/>
  <c r="Q68" i="2" s="1"/>
  <c r="D68" i="2"/>
  <c r="Q67" i="2"/>
  <c r="P67" i="2"/>
  <c r="L67" i="2"/>
  <c r="J67" i="2"/>
  <c r="O67" i="2" s="1"/>
  <c r="G67" i="2"/>
  <c r="R67" i="2" s="1"/>
  <c r="D67" i="2"/>
  <c r="P66" i="2"/>
  <c r="O66" i="2"/>
  <c r="N66" i="2"/>
  <c r="L66" i="2"/>
  <c r="J66" i="2"/>
  <c r="M66" i="2" s="1"/>
  <c r="G66" i="2"/>
  <c r="R66" i="2" s="1"/>
  <c r="D66" i="2"/>
  <c r="P65" i="2"/>
  <c r="O65" i="2"/>
  <c r="N65" i="2"/>
  <c r="M65" i="2"/>
  <c r="L65" i="2"/>
  <c r="J65" i="2"/>
  <c r="G65" i="2"/>
  <c r="D65" i="2"/>
  <c r="P64" i="2"/>
  <c r="N64" i="2"/>
  <c r="M64" i="2"/>
  <c r="L64" i="2"/>
  <c r="J64" i="2"/>
  <c r="O64" i="2" s="1"/>
  <c r="G64" i="2"/>
  <c r="R64" i="2" s="1"/>
  <c r="D64" i="2"/>
  <c r="P63" i="2"/>
  <c r="L63" i="2"/>
  <c r="J63" i="2"/>
  <c r="M63" i="2" s="1"/>
  <c r="G63" i="2"/>
  <c r="R63" i="2" s="1"/>
  <c r="D63" i="2"/>
  <c r="P62" i="2"/>
  <c r="O62" i="2"/>
  <c r="N62" i="2"/>
  <c r="M62" i="2"/>
  <c r="L62" i="2"/>
  <c r="J62" i="2"/>
  <c r="G62" i="2"/>
  <c r="Q62" i="2" s="1"/>
  <c r="D62" i="2"/>
  <c r="Q61" i="2"/>
  <c r="P61" i="2"/>
  <c r="L61" i="2"/>
  <c r="J61" i="2"/>
  <c r="O61" i="2" s="1"/>
  <c r="G61" i="2"/>
  <c r="R61" i="2" s="1"/>
  <c r="D61" i="2"/>
  <c r="P60" i="2"/>
  <c r="O60" i="2"/>
  <c r="N60" i="2"/>
  <c r="L60" i="2"/>
  <c r="J60" i="2"/>
  <c r="M60" i="2" s="1"/>
  <c r="G60" i="2"/>
  <c r="R60" i="2" s="1"/>
  <c r="D60" i="2"/>
  <c r="P59" i="2"/>
  <c r="O59" i="2"/>
  <c r="N59" i="2"/>
  <c r="M59" i="2"/>
  <c r="L59" i="2"/>
  <c r="J59" i="2"/>
  <c r="G59" i="2"/>
  <c r="D59" i="2"/>
  <c r="P58" i="2"/>
  <c r="N58" i="2"/>
  <c r="M58" i="2"/>
  <c r="L58" i="2"/>
  <c r="J58" i="2"/>
  <c r="O58" i="2" s="1"/>
  <c r="G58" i="2"/>
  <c r="R58" i="2" s="1"/>
  <c r="D58" i="2"/>
  <c r="J57" i="2"/>
  <c r="G57" i="2"/>
  <c r="R57" i="2" s="1"/>
  <c r="D57" i="2"/>
  <c r="J56" i="2"/>
  <c r="G56" i="2"/>
  <c r="R56" i="2" s="1"/>
  <c r="D56" i="2"/>
  <c r="R55" i="2"/>
  <c r="P55" i="2"/>
  <c r="O55" i="2"/>
  <c r="N55" i="2"/>
  <c r="M55" i="2"/>
  <c r="L55" i="2"/>
  <c r="J55" i="2"/>
  <c r="G55" i="2"/>
  <c r="Q55" i="2" s="1"/>
  <c r="D55" i="2"/>
  <c r="Q54" i="2"/>
  <c r="P54" i="2"/>
  <c r="J54" i="2"/>
  <c r="G54" i="2"/>
  <c r="R54" i="2" s="1"/>
  <c r="D54" i="2"/>
  <c r="Q53" i="2"/>
  <c r="O53" i="2"/>
  <c r="J53" i="2"/>
  <c r="G53" i="2"/>
  <c r="R53" i="2" s="1"/>
  <c r="D53" i="2"/>
  <c r="R52" i="2"/>
  <c r="P52" i="2"/>
  <c r="O52" i="2"/>
  <c r="N52" i="2"/>
  <c r="M52" i="2"/>
  <c r="L52" i="2"/>
  <c r="J52" i="2"/>
  <c r="G52" i="2"/>
  <c r="Q52" i="2" s="1"/>
  <c r="D52" i="2"/>
  <c r="J51" i="2"/>
  <c r="G51" i="2"/>
  <c r="R51" i="2" s="1"/>
  <c r="D51" i="2"/>
  <c r="J50" i="2"/>
  <c r="G50" i="2"/>
  <c r="R50" i="2" s="1"/>
  <c r="D50" i="2"/>
  <c r="R49" i="2"/>
  <c r="P49" i="2"/>
  <c r="O49" i="2"/>
  <c r="N49" i="2"/>
  <c r="M49" i="2"/>
  <c r="L49" i="2"/>
  <c r="J49" i="2"/>
  <c r="G49" i="2"/>
  <c r="Q49" i="2" s="1"/>
  <c r="D49" i="2"/>
  <c r="Q48" i="2"/>
  <c r="P48" i="2"/>
  <c r="J48" i="2"/>
  <c r="G48" i="2"/>
  <c r="R48" i="2" s="1"/>
  <c r="D48" i="2"/>
  <c r="Q47" i="2"/>
  <c r="O47" i="2"/>
  <c r="J47" i="2"/>
  <c r="G47" i="2"/>
  <c r="R47" i="2" s="1"/>
  <c r="D47" i="2"/>
  <c r="R46" i="2"/>
  <c r="P46" i="2"/>
  <c r="O46" i="2"/>
  <c r="N46" i="2"/>
  <c r="M46" i="2"/>
  <c r="L46" i="2"/>
  <c r="J46" i="2"/>
  <c r="G46" i="2"/>
  <c r="Q46" i="2" s="1"/>
  <c r="D46" i="2"/>
  <c r="J45" i="2"/>
  <c r="G45" i="2"/>
  <c r="R45" i="2" s="1"/>
  <c r="D45" i="2"/>
  <c r="J44" i="2"/>
  <c r="G44" i="2"/>
  <c r="R44" i="2" s="1"/>
  <c r="D44" i="2"/>
  <c r="R43" i="2"/>
  <c r="P43" i="2"/>
  <c r="O43" i="2"/>
  <c r="N43" i="2"/>
  <c r="M43" i="2"/>
  <c r="L43" i="2"/>
  <c r="J43" i="2"/>
  <c r="G43" i="2"/>
  <c r="Q43" i="2" s="1"/>
  <c r="D43" i="2"/>
  <c r="Q42" i="2"/>
  <c r="P42" i="2"/>
  <c r="J42" i="2"/>
  <c r="G42" i="2"/>
  <c r="R42" i="2" s="1"/>
  <c r="D42" i="2"/>
  <c r="Q41" i="2"/>
  <c r="O41" i="2"/>
  <c r="J41" i="2"/>
  <c r="G41" i="2"/>
  <c r="R41" i="2" s="1"/>
  <c r="D41" i="2"/>
  <c r="R40" i="2"/>
  <c r="P40" i="2"/>
  <c r="O40" i="2"/>
  <c r="N40" i="2"/>
  <c r="M40" i="2"/>
  <c r="L40" i="2"/>
  <c r="J40" i="2"/>
  <c r="G40" i="2"/>
  <c r="Q40" i="2" s="1"/>
  <c r="D40" i="2"/>
  <c r="J39" i="2"/>
  <c r="G39" i="2"/>
  <c r="R39" i="2" s="1"/>
  <c r="D39" i="2"/>
  <c r="J38" i="2"/>
  <c r="G38" i="2"/>
  <c r="R38" i="2" s="1"/>
  <c r="D38" i="2"/>
  <c r="R37" i="2"/>
  <c r="P37" i="2"/>
  <c r="O37" i="2"/>
  <c r="N37" i="2"/>
  <c r="M37" i="2"/>
  <c r="L37" i="2"/>
  <c r="J37" i="2"/>
  <c r="G37" i="2"/>
  <c r="Q37" i="2" s="1"/>
  <c r="D37" i="2"/>
  <c r="Q36" i="2"/>
  <c r="P36" i="2"/>
  <c r="J36" i="2"/>
  <c r="G36" i="2"/>
  <c r="R36" i="2" s="1"/>
  <c r="D36" i="2"/>
  <c r="Q35" i="2"/>
  <c r="O35" i="2"/>
  <c r="J35" i="2"/>
  <c r="G35" i="2"/>
  <c r="R35" i="2" s="1"/>
  <c r="D35" i="2"/>
  <c r="R34" i="2"/>
  <c r="P34" i="2"/>
  <c r="O34" i="2"/>
  <c r="N34" i="2"/>
  <c r="M34" i="2"/>
  <c r="L34" i="2"/>
  <c r="J34" i="2"/>
  <c r="G34" i="2"/>
  <c r="Q34" i="2" s="1"/>
  <c r="D34" i="2"/>
  <c r="J33" i="2"/>
  <c r="G33" i="2"/>
  <c r="R33" i="2" s="1"/>
  <c r="D33" i="2"/>
  <c r="J32" i="2"/>
  <c r="O32" i="2" s="1"/>
  <c r="G32" i="2"/>
  <c r="D32" i="2"/>
  <c r="R31" i="2"/>
  <c r="P31" i="2"/>
  <c r="O31" i="2"/>
  <c r="N31" i="2"/>
  <c r="M31" i="2"/>
  <c r="L31" i="2"/>
  <c r="J31" i="2"/>
  <c r="G31" i="2"/>
  <c r="Q31" i="2" s="1"/>
  <c r="D31" i="2"/>
  <c r="J30" i="2"/>
  <c r="G30" i="2"/>
  <c r="Q30" i="2" s="1"/>
  <c r="D30" i="2"/>
  <c r="J29" i="2"/>
  <c r="Q29" i="2" s="1"/>
  <c r="G29" i="2"/>
  <c r="D29" i="2"/>
  <c r="R28" i="2"/>
  <c r="P28" i="2"/>
  <c r="O28" i="2"/>
  <c r="N28" i="2"/>
  <c r="M28" i="2"/>
  <c r="L28" i="2"/>
  <c r="J28" i="2"/>
  <c r="G28" i="2"/>
  <c r="Q28" i="2" s="1"/>
  <c r="D28" i="2"/>
  <c r="J27" i="2"/>
  <c r="P27" i="2" s="1"/>
  <c r="G27" i="2"/>
  <c r="Q27" i="2" s="1"/>
  <c r="D27" i="2"/>
  <c r="J26" i="2"/>
  <c r="O26" i="2" s="1"/>
  <c r="G26" i="2"/>
  <c r="D26" i="2"/>
  <c r="R25" i="2"/>
  <c r="P25" i="2"/>
  <c r="O25" i="2"/>
  <c r="N25" i="2"/>
  <c r="M25" i="2"/>
  <c r="L25" i="2"/>
  <c r="J25" i="2"/>
  <c r="G25" i="2"/>
  <c r="Q25" i="2" s="1"/>
  <c r="D25" i="2"/>
  <c r="J24" i="2"/>
  <c r="O24" i="2" s="1"/>
  <c r="G24" i="2"/>
  <c r="Q24" i="2" s="1"/>
  <c r="D24" i="2"/>
  <c r="P23" i="2"/>
  <c r="O23" i="2"/>
  <c r="J23" i="2"/>
  <c r="M23" i="2" s="1"/>
  <c r="G23" i="2"/>
  <c r="Q23" i="2" s="1"/>
  <c r="D23" i="2"/>
  <c r="R22" i="2"/>
  <c r="P22" i="2"/>
  <c r="O22" i="2"/>
  <c r="N22" i="2"/>
  <c r="M22" i="2"/>
  <c r="L22" i="2"/>
  <c r="J22" i="2"/>
  <c r="G22" i="2"/>
  <c r="Q22" i="2" s="1"/>
  <c r="D22" i="2"/>
  <c r="P21" i="2"/>
  <c r="N21" i="2"/>
  <c r="J21" i="2"/>
  <c r="O21" i="2" s="1"/>
  <c r="G21" i="2"/>
  <c r="Q21" i="2" s="1"/>
  <c r="D21" i="2"/>
  <c r="J20" i="2"/>
  <c r="M20" i="2" s="1"/>
  <c r="G20" i="2"/>
  <c r="Q20" i="2" s="1"/>
  <c r="D20" i="2"/>
  <c r="R19" i="2"/>
  <c r="P19" i="2"/>
  <c r="O19" i="2"/>
  <c r="N19" i="2"/>
  <c r="M19" i="2"/>
  <c r="L19" i="2"/>
  <c r="J19" i="2"/>
  <c r="G19" i="2"/>
  <c r="Q19" i="2" s="1"/>
  <c r="D19" i="2"/>
  <c r="J18" i="2"/>
  <c r="O18" i="2" s="1"/>
  <c r="G18" i="2"/>
  <c r="Q18" i="2" s="1"/>
  <c r="D18" i="2"/>
  <c r="P17" i="2"/>
  <c r="O17" i="2"/>
  <c r="J17" i="2"/>
  <c r="M17" i="2" s="1"/>
  <c r="G17" i="2"/>
  <c r="Q17" i="2" s="1"/>
  <c r="D17" i="2"/>
  <c r="R16" i="2"/>
  <c r="P16" i="2"/>
  <c r="O16" i="2"/>
  <c r="N16" i="2"/>
  <c r="M16" i="2"/>
  <c r="L16" i="2"/>
  <c r="J16" i="2"/>
  <c r="G16" i="2"/>
  <c r="Q16" i="2" s="1"/>
  <c r="D16" i="2"/>
  <c r="P15" i="2"/>
  <c r="N15" i="2"/>
  <c r="J15" i="2"/>
  <c r="O15" i="2" s="1"/>
  <c r="G15" i="2"/>
  <c r="Q15" i="2" s="1"/>
  <c r="D15" i="2"/>
  <c r="J14" i="2"/>
  <c r="M14" i="2" s="1"/>
  <c r="G14" i="2"/>
  <c r="Q14" i="2" s="1"/>
  <c r="D14" i="2"/>
  <c r="R13" i="2"/>
  <c r="P13" i="2"/>
  <c r="O13" i="2"/>
  <c r="N13" i="2"/>
  <c r="M13" i="2"/>
  <c r="L13" i="2"/>
  <c r="J13" i="2"/>
  <c r="G13" i="2"/>
  <c r="Q13" i="2" s="1"/>
  <c r="D13" i="2"/>
  <c r="J12" i="2"/>
  <c r="O12" i="2" s="1"/>
  <c r="G12" i="2"/>
  <c r="Q12" i="2" s="1"/>
  <c r="D12" i="2"/>
  <c r="P11" i="2"/>
  <c r="O11" i="2"/>
  <c r="J11" i="2"/>
  <c r="M11" i="2" s="1"/>
  <c r="G11" i="2"/>
  <c r="Q11" i="2" s="1"/>
  <c r="D11" i="2"/>
  <c r="R10" i="2"/>
  <c r="P10" i="2"/>
  <c r="O10" i="2"/>
  <c r="N10" i="2"/>
  <c r="M10" i="2"/>
  <c r="L10" i="2"/>
  <c r="J10" i="2"/>
  <c r="G10" i="2"/>
  <c r="Q10" i="2" s="1"/>
  <c r="D10" i="2"/>
  <c r="P9" i="2"/>
  <c r="N9" i="2"/>
  <c r="J9" i="2"/>
  <c r="O9" i="2" s="1"/>
  <c r="G9" i="2"/>
  <c r="Q9" i="2" s="1"/>
  <c r="D9" i="2"/>
  <c r="J8" i="2"/>
  <c r="M8" i="2" s="1"/>
  <c r="G8" i="2"/>
  <c r="Q8" i="2" s="1"/>
  <c r="D8" i="2"/>
  <c r="P7" i="2"/>
  <c r="O7" i="2"/>
  <c r="L7" i="2"/>
  <c r="J7" i="2"/>
  <c r="N7" i="2" s="1"/>
  <c r="G7" i="2"/>
  <c r="R7" i="2" s="1"/>
  <c r="D7" i="2"/>
  <c r="P6" i="2"/>
  <c r="O6" i="2"/>
  <c r="N6" i="2"/>
  <c r="M6" i="2"/>
  <c r="J6" i="2"/>
  <c r="L6" i="2" s="1"/>
  <c r="G6" i="2"/>
  <c r="R6" i="2" s="1"/>
  <c r="D6" i="2"/>
  <c r="J5" i="2"/>
  <c r="P5" i="2" s="1"/>
  <c r="G5" i="2"/>
  <c r="D5" i="2"/>
  <c r="P4" i="2"/>
  <c r="O4" i="2"/>
  <c r="L4" i="2"/>
  <c r="J4" i="2"/>
  <c r="N4" i="2" s="1"/>
  <c r="G4" i="2"/>
  <c r="R4" i="2" s="1"/>
  <c r="D4" i="2"/>
  <c r="P3" i="2"/>
  <c r="O3" i="2"/>
  <c r="N3" i="2"/>
  <c r="M3" i="2"/>
  <c r="J3" i="2"/>
  <c r="L3" i="2" s="1"/>
  <c r="G3" i="2"/>
  <c r="R3" i="2" s="1"/>
  <c r="D3" i="2"/>
  <c r="H7" i="1" l="1"/>
  <c r="H111" i="1"/>
  <c r="H75" i="1"/>
  <c r="H51" i="1"/>
  <c r="I3" i="1"/>
  <c r="H146" i="1"/>
  <c r="H128" i="1"/>
  <c r="H110" i="1"/>
  <c r="H92" i="1"/>
  <c r="H74" i="1"/>
  <c r="H45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1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1" i="1"/>
  <c r="H137" i="1"/>
  <c r="H143" i="1"/>
  <c r="H13" i="1"/>
  <c r="H25" i="1"/>
  <c r="H43" i="1"/>
  <c r="H55" i="1"/>
  <c r="H67" i="1"/>
  <c r="H79" i="1"/>
  <c r="H91" i="1"/>
  <c r="H103" i="1"/>
  <c r="H121" i="1"/>
  <c r="H133" i="1"/>
  <c r="H145" i="1"/>
  <c r="H8" i="1"/>
  <c r="H26" i="1"/>
  <c r="H38" i="1"/>
  <c r="H50" i="1"/>
  <c r="H62" i="1"/>
  <c r="H12" i="1"/>
  <c r="H18" i="1"/>
  <c r="H24" i="1"/>
  <c r="H30" i="1"/>
  <c r="H36" i="1"/>
  <c r="H42" i="1"/>
  <c r="H48" i="1"/>
  <c r="H54" i="1"/>
  <c r="H60" i="1"/>
  <c r="H66" i="1"/>
  <c r="H72" i="1"/>
  <c r="H78" i="1"/>
  <c r="H84" i="1"/>
  <c r="H90" i="1"/>
  <c r="H96" i="1"/>
  <c r="H102" i="1"/>
  <c r="H108" i="1"/>
  <c r="H114" i="1"/>
  <c r="H120" i="1"/>
  <c r="H126" i="1"/>
  <c r="H132" i="1"/>
  <c r="H138" i="1"/>
  <c r="H144" i="1"/>
  <c r="H19" i="1"/>
  <c r="H31" i="1"/>
  <c r="H37" i="1"/>
  <c r="H49" i="1"/>
  <c r="H61" i="1"/>
  <c r="H73" i="1"/>
  <c r="H85" i="1"/>
  <c r="H97" i="1"/>
  <c r="H109" i="1"/>
  <c r="H115" i="1"/>
  <c r="H127" i="1"/>
  <c r="H139" i="1"/>
  <c r="H14" i="1"/>
  <c r="H32" i="1"/>
  <c r="H44" i="1"/>
  <c r="H56" i="1"/>
  <c r="H129" i="1"/>
  <c r="H20" i="1"/>
  <c r="H141" i="1"/>
  <c r="H123" i="1"/>
  <c r="H105" i="1"/>
  <c r="H87" i="1"/>
  <c r="H69" i="1"/>
  <c r="H39" i="1"/>
  <c r="H9" i="1"/>
  <c r="H93" i="1"/>
  <c r="H140" i="1"/>
  <c r="H122" i="1"/>
  <c r="H104" i="1"/>
  <c r="H86" i="1"/>
  <c r="H68" i="1"/>
  <c r="H33" i="1"/>
  <c r="Q5" i="2"/>
  <c r="R8" i="2"/>
  <c r="R12" i="2"/>
  <c r="R14" i="2"/>
  <c r="R18" i="2"/>
  <c r="R27" i="2"/>
  <c r="R5" i="2"/>
  <c r="L12" i="2"/>
  <c r="L14" i="2"/>
  <c r="L18" i="2"/>
  <c r="L20" i="2"/>
  <c r="L24" i="2"/>
  <c r="N26" i="2"/>
  <c r="N29" i="2"/>
  <c r="O30" i="2"/>
  <c r="N30" i="2"/>
  <c r="N32" i="2"/>
  <c r="O33" i="2"/>
  <c r="N33" i="2"/>
  <c r="L33" i="2"/>
  <c r="M38" i="2"/>
  <c r="L38" i="2"/>
  <c r="P38" i="2"/>
  <c r="O39" i="2"/>
  <c r="N39" i="2"/>
  <c r="L39" i="2"/>
  <c r="M44" i="2"/>
  <c r="L44" i="2"/>
  <c r="P44" i="2"/>
  <c r="O45" i="2"/>
  <c r="N45" i="2"/>
  <c r="L45" i="2"/>
  <c r="M50" i="2"/>
  <c r="L50" i="2"/>
  <c r="P50" i="2"/>
  <c r="O51" i="2"/>
  <c r="N51" i="2"/>
  <c r="L51" i="2"/>
  <c r="M56" i="2"/>
  <c r="L56" i="2"/>
  <c r="P56" i="2"/>
  <c r="O57" i="2"/>
  <c r="N57" i="2"/>
  <c r="L57" i="2"/>
  <c r="Q59" i="2"/>
  <c r="R59" i="2"/>
  <c r="Q65" i="2"/>
  <c r="R65" i="2"/>
  <c r="Q71" i="2"/>
  <c r="R71" i="2"/>
  <c r="Q77" i="2"/>
  <c r="R77" i="2"/>
  <c r="Q92" i="2"/>
  <c r="R92" i="2"/>
  <c r="P99" i="2"/>
  <c r="O99" i="2"/>
  <c r="M99" i="2"/>
  <c r="N99" i="2"/>
  <c r="L99" i="2"/>
  <c r="R121" i="2"/>
  <c r="Q121" i="2"/>
  <c r="Q122" i="2"/>
  <c r="R122" i="2"/>
  <c r="R124" i="2"/>
  <c r="Q124" i="2"/>
  <c r="R127" i="2"/>
  <c r="Q127" i="2"/>
  <c r="Q128" i="2"/>
  <c r="R128" i="2"/>
  <c r="R133" i="2"/>
  <c r="Q133" i="2"/>
  <c r="R136" i="2"/>
  <c r="Q136" i="2"/>
  <c r="Q137" i="2"/>
  <c r="R137" i="2"/>
  <c r="R142" i="2"/>
  <c r="Q142" i="2"/>
  <c r="Q4" i="2"/>
  <c r="M5" i="2"/>
  <c r="Q7" i="2"/>
  <c r="N8" i="2"/>
  <c r="M12" i="2"/>
  <c r="N14" i="2"/>
  <c r="M18" i="2"/>
  <c r="N20" i="2"/>
  <c r="M24" i="2"/>
  <c r="L27" i="2"/>
  <c r="O29" i="2"/>
  <c r="L30" i="2"/>
  <c r="M33" i="2"/>
  <c r="N38" i="2"/>
  <c r="M39" i="2"/>
  <c r="N44" i="2"/>
  <c r="M45" i="2"/>
  <c r="N50" i="2"/>
  <c r="M51" i="2"/>
  <c r="N56" i="2"/>
  <c r="M57" i="2"/>
  <c r="P90" i="2"/>
  <c r="O90" i="2"/>
  <c r="M90" i="2"/>
  <c r="R90" i="2"/>
  <c r="N90" i="2"/>
  <c r="Q99" i="2"/>
  <c r="P102" i="2"/>
  <c r="O102" i="2"/>
  <c r="M102" i="2"/>
  <c r="R102" i="2"/>
  <c r="Q102" i="2"/>
  <c r="L102" i="2"/>
  <c r="R106" i="2"/>
  <c r="Q106" i="2"/>
  <c r="R112" i="2"/>
  <c r="Q112" i="2"/>
  <c r="Q113" i="2"/>
  <c r="R113" i="2"/>
  <c r="R115" i="2"/>
  <c r="Q115" i="2"/>
  <c r="Q116" i="2"/>
  <c r="R116" i="2"/>
  <c r="R20" i="2"/>
  <c r="M26" i="2"/>
  <c r="L26" i="2"/>
  <c r="R30" i="2"/>
  <c r="M32" i="2"/>
  <c r="L32" i="2"/>
  <c r="R11" i="2"/>
  <c r="N12" i="2"/>
  <c r="N18" i="2"/>
  <c r="R21" i="2"/>
  <c r="R23" i="2"/>
  <c r="N24" i="2"/>
  <c r="P29" i="2"/>
  <c r="M30" i="2"/>
  <c r="P32" i="2"/>
  <c r="P33" i="2"/>
  <c r="P39" i="2"/>
  <c r="P45" i="2"/>
  <c r="O56" i="2"/>
  <c r="R88" i="2"/>
  <c r="Q88" i="2"/>
  <c r="R99" i="2"/>
  <c r="Q3" i="2"/>
  <c r="O5" i="2"/>
  <c r="Q6" i="2"/>
  <c r="P8" i="2"/>
  <c r="P12" i="2"/>
  <c r="P14" i="2"/>
  <c r="L15" i="2"/>
  <c r="L17" i="2"/>
  <c r="P18" i="2"/>
  <c r="L21" i="2"/>
  <c r="L23" i="2"/>
  <c r="P24" i="2"/>
  <c r="P30" i="2"/>
  <c r="Q32" i="2"/>
  <c r="Q33" i="2"/>
  <c r="M35" i="2"/>
  <c r="L35" i="2"/>
  <c r="P35" i="2"/>
  <c r="O36" i="2"/>
  <c r="N36" i="2"/>
  <c r="L36" i="2"/>
  <c r="Q38" i="2"/>
  <c r="Q39" i="2"/>
  <c r="M41" i="2"/>
  <c r="L41" i="2"/>
  <c r="P41" i="2"/>
  <c r="O42" i="2"/>
  <c r="N42" i="2"/>
  <c r="L42" i="2"/>
  <c r="Q44" i="2"/>
  <c r="Q45" i="2"/>
  <c r="M47" i="2"/>
  <c r="L47" i="2"/>
  <c r="P47" i="2"/>
  <c r="O48" i="2"/>
  <c r="N48" i="2"/>
  <c r="L48" i="2"/>
  <c r="Q50" i="2"/>
  <c r="Q51" i="2"/>
  <c r="M53" i="2"/>
  <c r="L53" i="2"/>
  <c r="P53" i="2"/>
  <c r="O54" i="2"/>
  <c r="N54" i="2"/>
  <c r="L54" i="2"/>
  <c r="Q56" i="2"/>
  <c r="Q57" i="2"/>
  <c r="Q63" i="2"/>
  <c r="Q69" i="2"/>
  <c r="Q75" i="2"/>
  <c r="R79" i="2"/>
  <c r="Q79" i="2"/>
  <c r="Q90" i="2"/>
  <c r="P105" i="2"/>
  <c r="O105" i="2"/>
  <c r="M105" i="2"/>
  <c r="R105" i="2"/>
  <c r="N105" i="2"/>
  <c r="P111" i="2"/>
  <c r="O111" i="2"/>
  <c r="M111" i="2"/>
  <c r="N111" i="2"/>
  <c r="L111" i="2"/>
  <c r="P123" i="2"/>
  <c r="O123" i="2"/>
  <c r="M123" i="2"/>
  <c r="R123" i="2"/>
  <c r="Q123" i="2"/>
  <c r="L123" i="2"/>
  <c r="P132" i="2"/>
  <c r="O132" i="2"/>
  <c r="M132" i="2"/>
  <c r="R132" i="2"/>
  <c r="Q132" i="2"/>
  <c r="L132" i="2"/>
  <c r="P141" i="2"/>
  <c r="O141" i="2"/>
  <c r="M141" i="2"/>
  <c r="R141" i="2"/>
  <c r="Q141" i="2"/>
  <c r="L141" i="2"/>
  <c r="R24" i="2"/>
  <c r="M29" i="2"/>
  <c r="L29" i="2"/>
  <c r="P87" i="2"/>
  <c r="O87" i="2"/>
  <c r="M87" i="2"/>
  <c r="R87" i="2"/>
  <c r="Q87" i="2"/>
  <c r="L87" i="2"/>
  <c r="R91" i="2"/>
  <c r="Q91" i="2"/>
  <c r="L5" i="2"/>
  <c r="L8" i="2"/>
  <c r="O27" i="2"/>
  <c r="N27" i="2"/>
  <c r="N5" i="2"/>
  <c r="O8" i="2"/>
  <c r="R9" i="2"/>
  <c r="O14" i="2"/>
  <c r="R15" i="2"/>
  <c r="R17" i="2"/>
  <c r="O20" i="2"/>
  <c r="P26" i="2"/>
  <c r="M27" i="2"/>
  <c r="O38" i="2"/>
  <c r="O44" i="2"/>
  <c r="O50" i="2"/>
  <c r="P51" i="2"/>
  <c r="P57" i="2"/>
  <c r="Q86" i="2"/>
  <c r="R86" i="2"/>
  <c r="P120" i="2"/>
  <c r="O120" i="2"/>
  <c r="M120" i="2"/>
  <c r="N120" i="2"/>
  <c r="L120" i="2"/>
  <c r="P126" i="2"/>
  <c r="O126" i="2"/>
  <c r="M126" i="2"/>
  <c r="N126" i="2"/>
  <c r="L126" i="2"/>
  <c r="P135" i="2"/>
  <c r="O135" i="2"/>
  <c r="M135" i="2"/>
  <c r="N135" i="2"/>
  <c r="L135" i="2"/>
  <c r="M4" i="2"/>
  <c r="M7" i="2"/>
  <c r="L9" i="2"/>
  <c r="L11" i="2"/>
  <c r="P20" i="2"/>
  <c r="Q26" i="2"/>
  <c r="M9" i="2"/>
  <c r="N11" i="2"/>
  <c r="M15" i="2"/>
  <c r="N17" i="2"/>
  <c r="M21" i="2"/>
  <c r="N23" i="2"/>
  <c r="R26" i="2"/>
  <c r="R29" i="2"/>
  <c r="R32" i="2"/>
  <c r="N35" i="2"/>
  <c r="M36" i="2"/>
  <c r="N41" i="2"/>
  <c r="M42" i="2"/>
  <c r="N47" i="2"/>
  <c r="M48" i="2"/>
  <c r="N53" i="2"/>
  <c r="M54" i="2"/>
  <c r="R80" i="2"/>
  <c r="R100" i="2"/>
  <c r="Q100" i="2"/>
  <c r="Q101" i="2"/>
  <c r="R101" i="2"/>
  <c r="R103" i="2"/>
  <c r="Q103" i="2"/>
  <c r="L105" i="2"/>
  <c r="Q111" i="2"/>
  <c r="P114" i="2"/>
  <c r="O114" i="2"/>
  <c r="M114" i="2"/>
  <c r="R114" i="2"/>
  <c r="Q114" i="2"/>
  <c r="L114" i="2"/>
  <c r="R120" i="2"/>
  <c r="N123" i="2"/>
  <c r="R126" i="2"/>
  <c r="N132" i="2"/>
  <c r="R135" i="2"/>
  <c r="N141" i="2"/>
  <c r="P84" i="2"/>
  <c r="O84" i="2"/>
  <c r="M84" i="2"/>
  <c r="R85" i="2"/>
  <c r="Q85" i="2"/>
  <c r="Q58" i="2"/>
  <c r="Q60" i="2"/>
  <c r="M61" i="2"/>
  <c r="N63" i="2"/>
  <c r="Q64" i="2"/>
  <c r="Q66" i="2"/>
  <c r="M67" i="2"/>
  <c r="N69" i="2"/>
  <c r="Q70" i="2"/>
  <c r="Q72" i="2"/>
  <c r="M73" i="2"/>
  <c r="N75" i="2"/>
  <c r="Q76" i="2"/>
  <c r="P81" i="2"/>
  <c r="O81" i="2"/>
  <c r="M81" i="2"/>
  <c r="R82" i="2"/>
  <c r="Q82" i="2"/>
  <c r="N84" i="2"/>
  <c r="P96" i="2"/>
  <c r="O96" i="2"/>
  <c r="M96" i="2"/>
  <c r="R97" i="2"/>
  <c r="Q97" i="2"/>
  <c r="P108" i="2"/>
  <c r="O108" i="2"/>
  <c r="M108" i="2"/>
  <c r="R109" i="2"/>
  <c r="Q109" i="2"/>
  <c r="N61" i="2"/>
  <c r="R62" i="2"/>
  <c r="O63" i="2"/>
  <c r="N67" i="2"/>
  <c r="R68" i="2"/>
  <c r="O69" i="2"/>
  <c r="N73" i="2"/>
  <c r="R74" i="2"/>
  <c r="O75" i="2"/>
  <c r="P78" i="2"/>
  <c r="M78" i="2"/>
  <c r="L81" i="2"/>
  <c r="R83" i="2"/>
  <c r="Q84" i="2"/>
  <c r="P93" i="2"/>
  <c r="O93" i="2"/>
  <c r="M93" i="2"/>
  <c r="R94" i="2"/>
  <c r="Q94" i="2"/>
  <c r="L96" i="2"/>
  <c r="L108" i="2"/>
  <c r="P117" i="2"/>
  <c r="O117" i="2"/>
  <c r="M117" i="2"/>
  <c r="R118" i="2"/>
  <c r="Q118" i="2"/>
  <c r="P129" i="2"/>
  <c r="O129" i="2"/>
  <c r="M129" i="2"/>
  <c r="R130" i="2"/>
  <c r="Q130" i="2"/>
  <c r="P138" i="2"/>
  <c r="O138" i="2"/>
  <c r="M138" i="2"/>
  <c r="R139" i="2"/>
  <c r="Q139" i="2"/>
  <c r="O79" i="2"/>
  <c r="O82" i="2"/>
  <c r="O100" i="2"/>
  <c r="O106" i="2"/>
  <c r="O112" i="2"/>
  <c r="O115" i="2"/>
  <c r="O118" i="2"/>
  <c r="O121" i="2"/>
  <c r="O124" i="2"/>
  <c r="O127" i="2"/>
  <c r="O130" i="2"/>
  <c r="O133" i="2"/>
  <c r="O136" i="2"/>
  <c r="O139" i="2"/>
  <c r="O142" i="2"/>
  <c r="M125" i="2"/>
  <c r="M128" i="2"/>
  <c r="M131" i="2"/>
  <c r="M134" i="2"/>
  <c r="M137" i="2"/>
  <c r="M140" i="2"/>
  <c r="I8" i="1" l="1"/>
  <c r="I14" i="1"/>
  <c r="I20" i="1"/>
  <c r="I26" i="1"/>
  <c r="I32" i="1"/>
  <c r="I38" i="1"/>
  <c r="I44" i="1"/>
  <c r="I50" i="1"/>
  <c r="I56" i="1"/>
  <c r="I62" i="1"/>
  <c r="I68" i="1"/>
  <c r="I74" i="1"/>
  <c r="I80" i="1"/>
  <c r="I86" i="1"/>
  <c r="I92" i="1"/>
  <c r="I98" i="1"/>
  <c r="I104" i="1"/>
  <c r="I110" i="1"/>
  <c r="I116" i="1"/>
  <c r="I122" i="1"/>
  <c r="I128" i="1"/>
  <c r="I134" i="1"/>
  <c r="I140" i="1"/>
  <c r="I146" i="1"/>
  <c r="I132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11" i="1"/>
  <c r="I117" i="1"/>
  <c r="I123" i="1"/>
  <c r="I129" i="1"/>
  <c r="I135" i="1"/>
  <c r="I141" i="1"/>
  <c r="I7" i="1"/>
  <c r="I17" i="1"/>
  <c r="I29" i="1"/>
  <c r="I41" i="1"/>
  <c r="I53" i="1"/>
  <c r="I65" i="1"/>
  <c r="I77" i="1"/>
  <c r="I89" i="1"/>
  <c r="I101" i="1"/>
  <c r="I113" i="1"/>
  <c r="I125" i="1"/>
  <c r="I137" i="1"/>
  <c r="I12" i="1"/>
  <c r="I24" i="1"/>
  <c r="I36" i="1"/>
  <c r="I48" i="1"/>
  <c r="I60" i="1"/>
  <c r="I72" i="1"/>
  <c r="I84" i="1"/>
  <c r="I96" i="1"/>
  <c r="I108" i="1"/>
  <c r="I120" i="1"/>
  <c r="I138" i="1"/>
  <c r="I10" i="1"/>
  <c r="I16" i="1"/>
  <c r="I22" i="1"/>
  <c r="I28" i="1"/>
  <c r="I34" i="1"/>
  <c r="I40" i="1"/>
  <c r="I46" i="1"/>
  <c r="I52" i="1"/>
  <c r="I58" i="1"/>
  <c r="I64" i="1"/>
  <c r="I70" i="1"/>
  <c r="I76" i="1"/>
  <c r="I82" i="1"/>
  <c r="I88" i="1"/>
  <c r="I94" i="1"/>
  <c r="I100" i="1"/>
  <c r="I106" i="1"/>
  <c r="I112" i="1"/>
  <c r="I118" i="1"/>
  <c r="I124" i="1"/>
  <c r="I130" i="1"/>
  <c r="I136" i="1"/>
  <c r="I142" i="1"/>
  <c r="I11" i="1"/>
  <c r="I23" i="1"/>
  <c r="I35" i="1"/>
  <c r="I47" i="1"/>
  <c r="I59" i="1"/>
  <c r="I71" i="1"/>
  <c r="I83" i="1"/>
  <c r="I95" i="1"/>
  <c r="I107" i="1"/>
  <c r="I119" i="1"/>
  <c r="I131" i="1"/>
  <c r="I143" i="1"/>
  <c r="I18" i="1"/>
  <c r="I30" i="1"/>
  <c r="I42" i="1"/>
  <c r="I54" i="1"/>
  <c r="I66" i="1"/>
  <c r="I78" i="1"/>
  <c r="I90" i="1"/>
  <c r="I102" i="1"/>
  <c r="I114" i="1"/>
  <c r="I126" i="1"/>
  <c r="I144" i="1"/>
  <c r="I13" i="1"/>
  <c r="I49" i="1"/>
  <c r="I85" i="1"/>
  <c r="I121" i="1"/>
  <c r="I37" i="1"/>
  <c r="I145" i="1"/>
  <c r="I43" i="1"/>
  <c r="I19" i="1"/>
  <c r="I55" i="1"/>
  <c r="I91" i="1"/>
  <c r="I127" i="1"/>
  <c r="I109" i="1"/>
  <c r="I79" i="1"/>
  <c r="I25" i="1"/>
  <c r="I61" i="1"/>
  <c r="I97" i="1"/>
  <c r="I133" i="1"/>
  <c r="I31" i="1"/>
  <c r="I67" i="1"/>
  <c r="I103" i="1"/>
  <c r="I139" i="1"/>
  <c r="I73" i="1"/>
  <c r="I115" i="1"/>
</calcChain>
</file>

<file path=xl/connections.xml><?xml version="1.0" encoding="utf-8"?>
<connections xmlns="http://schemas.openxmlformats.org/spreadsheetml/2006/main">
  <connection id="1" name="Atmosphere" type="6" refreshedVersion="4" background="1" saveData="1">
    <textPr codePage="65001" sourceFile="C:\Users\mautone\Dropbox\RISCRAM\Flight\Atmosphere.dat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<sst xmlns="http://schemas.openxmlformats.org/spreadsheetml/2006/main" count="52" uniqueCount="27">
  <si>
    <t>Altitude</t>
  </si>
  <si>
    <t>VelocSom</t>
  </si>
  <si>
    <t>M</t>
  </si>
  <si>
    <t>Tt</t>
  </si>
  <si>
    <t>m</t>
  </si>
  <si>
    <t>km</t>
  </si>
  <si>
    <t>Pressão(Pa)</t>
  </si>
  <si>
    <t>Temperatura(°C)</t>
  </si>
  <si>
    <t>T (k)</t>
  </si>
  <si>
    <t>Densidade(kg/m3)</t>
  </si>
  <si>
    <t>(m/s)</t>
  </si>
  <si>
    <t>km/h</t>
  </si>
  <si>
    <t>Viscos.(10^-5Pa.s)</t>
  </si>
  <si>
    <t>Mach</t>
  </si>
  <si>
    <t>Pt/P</t>
  </si>
  <si>
    <t>Tt/T</t>
  </si>
  <si>
    <t>(1+(gamma-1)/2*M*M)^(gamma/(gamma-1))</t>
  </si>
  <si>
    <t>(1+(gamma-1)/2*M*M)</t>
  </si>
  <si>
    <t>gamma</t>
  </si>
  <si>
    <t>Tt(K)</t>
  </si>
  <si>
    <t>Pt (bar)</t>
  </si>
  <si>
    <t>Altitude (km)</t>
  </si>
  <si>
    <t>Pressure (bar)</t>
  </si>
  <si>
    <t>Temperature (K)</t>
  </si>
  <si>
    <t>Recovery</t>
  </si>
  <si>
    <t>Main Chamber Pressure (bar)</t>
  </si>
  <si>
    <t>Bypass Temperature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</si>
</sst>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38056107170381"/>
          <c:y val="8.509490261085785E-2"/>
          <c:w val="0.81658034637742993"/>
          <c:h val="0.76867003729796934"/>
        </c:manualLayout>
      </c:layout>
      <c:scatterChart>
        <c:scatterStyle val="smoothMarker"/>
        <c:varyColors val="0"/>
        <c:ser>
          <c:idx val="5"/>
          <c:order val="0"/>
          <c:tx>
            <c:v>Flight Path</c:v>
          </c:tx>
          <c:spPr>
            <a:ln w="22225" cap="rnd">
              <a:noFill/>
              <a:round/>
            </a:ln>
            <a:effectLst/>
          </c:spPr>
          <c:marker>
            <c:symbol val="circle"/>
            <c:size val="14"/>
            <c:spPr>
              <a:noFill/>
              <a:ln w="19050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FlightPath!$B$4:$B$11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  <c:pt idx="4">
                  <c:v>28</c:v>
                </c:pt>
                <c:pt idx="5">
                  <c:v>28</c:v>
                </c:pt>
                <c:pt idx="6">
                  <c:v>35</c:v>
                </c:pt>
                <c:pt idx="7">
                  <c:v>64.400000000000006</c:v>
                </c:pt>
              </c:numCache>
            </c:numRef>
          </c:xVal>
          <c:yVal>
            <c:numRef>
              <c:f>FlightPath!$D$4:$D$11</c:f>
              <c:numCache>
                <c:formatCode>0.00000</c:formatCode>
                <c:ptCount val="8"/>
                <c:pt idx="0">
                  <c:v>1.01342</c:v>
                </c:pt>
                <c:pt idx="1">
                  <c:v>0.54323999999999995</c:v>
                </c:pt>
                <c:pt idx="2">
                  <c:v>0.12373000000000001</c:v>
                </c:pt>
                <c:pt idx="3">
                  <c:v>5.3929999999999999E-2</c:v>
                </c:pt>
                <c:pt idx="4">
                  <c:v>1.6639999999999999E-2</c:v>
                </c:pt>
                <c:pt idx="5">
                  <c:v>1.6639999999999999E-2</c:v>
                </c:pt>
                <c:pt idx="6">
                  <c:v>5.8399999999999997E-3</c:v>
                </c:pt>
                <c:pt idx="7">
                  <c:v>1.2E-4</c:v>
                </c:pt>
              </c:numCache>
            </c:numRef>
          </c:yVal>
          <c:smooth val="1"/>
        </c:ser>
        <c:ser>
          <c:idx val="6"/>
          <c:order val="1"/>
          <c:tx>
            <c:v>Recovery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triangle"/>
            <c:size val="12"/>
            <c:spPr>
              <a:noFill/>
              <a:ln w="19050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FlightPath!$B$4:$B$10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  <c:pt idx="4">
                  <c:v>28</c:v>
                </c:pt>
                <c:pt idx="5">
                  <c:v>28</c:v>
                </c:pt>
                <c:pt idx="6">
                  <c:v>35</c:v>
                </c:pt>
              </c:numCache>
            </c:numRef>
          </c:xVal>
          <c:yVal>
            <c:numRef>
              <c:f>FlightPath!$F$4:$F$10</c:f>
              <c:numCache>
                <c:formatCode>#,#00</c:formatCode>
                <c:ptCount val="7"/>
                <c:pt idx="0">
                  <c:v>8</c:v>
                </c:pt>
                <c:pt idx="1">
                  <c:v>5</c:v>
                </c:pt>
                <c:pt idx="2" formatCode="00,000">
                  <c:v>0.55000000000000004</c:v>
                </c:pt>
                <c:pt idx="3" formatCode="00,000">
                  <c:v>0.12</c:v>
                </c:pt>
                <c:pt idx="4" formatCode="00,000">
                  <c:v>0.12</c:v>
                </c:pt>
                <c:pt idx="5" formatCode="00,000">
                  <c:v>0.4</c:v>
                </c:pt>
                <c:pt idx="6">
                  <c:v>25</c:v>
                </c:pt>
              </c:numCache>
            </c:numRef>
          </c:yVal>
          <c:smooth val="0"/>
        </c:ser>
        <c:ser>
          <c:idx val="0"/>
          <c:order val="2"/>
          <c:tx>
            <c:v>0,4M</c:v>
          </c:tx>
          <c:spPr>
            <a:ln w="2222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Recovery!$I$7:$I$146</c:f>
              <c:numCache>
                <c:formatCode>0.0000</c:formatCode>
                <c:ptCount val="140"/>
                <c:pt idx="0">
                  <c:v>1.1315360931909202</c:v>
                </c:pt>
                <c:pt idx="1">
                  <c:v>1.1301962308319484</c:v>
                </c:pt>
                <c:pt idx="2">
                  <c:v>1.1275165061140051</c:v>
                </c:pt>
                <c:pt idx="3">
                  <c:v>1.123508084556748</c:v>
                </c:pt>
                <c:pt idx="4">
                  <c:v>1.1181821316798355</c:v>
                </c:pt>
                <c:pt idx="5">
                  <c:v>1.1115609785225837</c:v>
                </c:pt>
                <c:pt idx="6">
                  <c:v>1.1036446250849925</c:v>
                </c:pt>
                <c:pt idx="7">
                  <c:v>1.0944777334456945</c:v>
                </c:pt>
                <c:pt idx="8">
                  <c:v>1.0840714691243476</c:v>
                </c:pt>
                <c:pt idx="9">
                  <c:v>1.0724593286799262</c:v>
                </c:pt>
                <c:pt idx="10">
                  <c:v>1.0596859741910625</c:v>
                </c:pt>
                <c:pt idx="11">
                  <c:v>1.045762571177415</c:v>
                </c:pt>
                <c:pt idx="12">
                  <c:v>1.030756112756932</c:v>
                </c:pt>
                <c:pt idx="13">
                  <c:v>1.0146889299689297</c:v>
                </c:pt>
                <c:pt idx="14">
                  <c:v>0.99761685041169834</c:v>
                </c:pt>
                <c:pt idx="15">
                  <c:v>0.97957337064421279</c:v>
                </c:pt>
                <c:pt idx="16">
                  <c:v>0.96062548378442125</c:v>
                </c:pt>
                <c:pt idx="17">
                  <c:v>0.94082901743061431</c:v>
                </c:pt>
                <c:pt idx="18">
                  <c:v>0.9202174681417663</c:v>
                </c:pt>
                <c:pt idx="19">
                  <c:v>0.89886899455548386</c:v>
                </c:pt>
                <c:pt idx="20">
                  <c:v>0.8768170932307412</c:v>
                </c:pt>
                <c:pt idx="21">
                  <c:v>0.85415108832480324</c:v>
                </c:pt>
                <c:pt idx="22">
                  <c:v>0.83091564191630229</c:v>
                </c:pt>
                <c:pt idx="23">
                  <c:v>0.80716658160352872</c:v>
                </c:pt>
                <c:pt idx="24">
                  <c:v>0.78297090050443152</c:v>
                </c:pt>
                <c:pt idx="25">
                  <c:v>0.75840675725661688</c:v>
                </c:pt>
                <c:pt idx="26">
                  <c:v>0.73351881393871754</c:v>
                </c:pt>
                <c:pt idx="27">
                  <c:v>0.7083852291883399</c:v>
                </c:pt>
                <c:pt idx="28">
                  <c:v>0.6830506650841166</c:v>
                </c:pt>
                <c:pt idx="29">
                  <c:v>0.65759328026365427</c:v>
                </c:pt>
                <c:pt idx="30">
                  <c:v>0.63208006784490134</c:v>
                </c:pt>
                <c:pt idx="31">
                  <c:v>0.60655568990649045</c:v>
                </c:pt>
                <c:pt idx="32">
                  <c:v>0.58108713956636993</c:v>
                </c:pt>
                <c:pt idx="33">
                  <c:v>0.55574140994248855</c:v>
                </c:pt>
                <c:pt idx="34">
                  <c:v>0.53057432863313669</c:v>
                </c:pt>
                <c:pt idx="35">
                  <c:v>0.50564172323660483</c:v>
                </c:pt>
                <c:pt idx="36">
                  <c:v>0.48098825583152555</c:v>
                </c:pt>
                <c:pt idx="37">
                  <c:v>0.45668091953584722</c:v>
                </c:pt>
                <c:pt idx="38">
                  <c:v>0.43275321090854418</c:v>
                </c:pt>
                <c:pt idx="39">
                  <c:v>0.40926095754790703</c:v>
                </c:pt>
                <c:pt idx="40">
                  <c:v>0.38625998705222608</c:v>
                </c:pt>
                <c:pt idx="41">
                  <c:v>0.36377263046081765</c:v>
                </c:pt>
                <c:pt idx="42">
                  <c:v>0.34185471537197221</c:v>
                </c:pt>
                <c:pt idx="43">
                  <c:v>0.32052857282500591</c:v>
                </c:pt>
                <c:pt idx="44">
                  <c:v>0.29983886489855116</c:v>
                </c:pt>
                <c:pt idx="45">
                  <c:v>0.27980792263192417</c:v>
                </c:pt>
                <c:pt idx="46">
                  <c:v>0.26046924258409926</c:v>
                </c:pt>
                <c:pt idx="47">
                  <c:v>0.24253741801319462</c:v>
                </c:pt>
                <c:pt idx="48">
                  <c:v>0.22486240039442623</c:v>
                </c:pt>
                <c:pt idx="49">
                  <c:v>0.20814761746625424</c:v>
                </c:pt>
                <c:pt idx="50">
                  <c:v>0.19237073818936243</c:v>
                </c:pt>
                <c:pt idx="51">
                  <c:v>0.17750943152443457</c:v>
                </c:pt>
                <c:pt idx="52">
                  <c:v>0.16353020091249648</c:v>
                </c:pt>
                <c:pt idx="53">
                  <c:v>0.15042188083388996</c:v>
                </c:pt>
                <c:pt idx="54">
                  <c:v>0.13815097472964077</c:v>
                </c:pt>
                <c:pt idx="55">
                  <c:v>0.12667282052111653</c:v>
                </c:pt>
                <c:pt idx="56">
                  <c:v>0.11596508716900097</c:v>
                </c:pt>
                <c:pt idx="57">
                  <c:v>0.10599427811431987</c:v>
                </c:pt>
                <c:pt idx="58">
                  <c:v>9.6738062317757029E-2</c:v>
                </c:pt>
                <c:pt idx="59">
                  <c:v>8.8140612181021941E-2</c:v>
                </c:pt>
                <c:pt idx="60">
                  <c:v>8.0190762184456491E-2</c:v>
                </c:pt>
                <c:pt idx="61">
                  <c:v>7.2832684729770211E-2</c:v>
                </c:pt>
                <c:pt idx="62">
                  <c:v>6.6055214297305015E-2</c:v>
                </c:pt>
                <c:pt idx="63">
                  <c:v>6.0215647516119998E-2</c:v>
                </c:pt>
                <c:pt idx="64">
                  <c:v>5.4443073852883571E-2</c:v>
                </c:pt>
                <c:pt idx="65">
                  <c:v>4.9172948574261535E-2</c:v>
                </c:pt>
                <c:pt idx="66">
                  <c:v>4.4349444081963403E-2</c:v>
                </c:pt>
                <c:pt idx="67">
                  <c:v>3.9950229336672971E-2</c:v>
                </c:pt>
                <c:pt idx="68">
                  <c:v>3.5941807779415962E-2</c:v>
                </c:pt>
                <c:pt idx="69">
                  <c:v>3.2290682851218069E-2</c:v>
                </c:pt>
                <c:pt idx="70">
                  <c:v>2.8985689032421196E-2</c:v>
                </c:pt>
                <c:pt idx="71">
                  <c:v>2.5982164244392963E-2</c:v>
                </c:pt>
                <c:pt idx="72">
                  <c:v>2.3257777447817162E-2</c:v>
                </c:pt>
                <c:pt idx="73">
                  <c:v>2.0801363123035703E-2</c:v>
                </c:pt>
                <c:pt idx="74">
                  <c:v>1.8579424711074297E-2</c:v>
                </c:pt>
                <c:pt idx="75">
                  <c:v>1.6580796692274836E-2</c:v>
                </c:pt>
                <c:pt idx="76">
                  <c:v>1.4783148027321136E-2</c:v>
                </c:pt>
                <c:pt idx="77">
                  <c:v>1.3152982157238894E-2</c:v>
                </c:pt>
                <c:pt idx="78">
                  <c:v>1.1701464601686216E-2</c:v>
                </c:pt>
                <c:pt idx="79">
                  <c:v>1.0395098801688802E-2</c:v>
                </c:pt>
                <c:pt idx="80">
                  <c:v>9.3567054734857331E-3</c:v>
                </c:pt>
                <c:pt idx="81">
                  <c:v>8.2959811059664674E-3</c:v>
                </c:pt>
                <c:pt idx="82">
                  <c:v>7.3580774546862741E-3</c:v>
                </c:pt>
                <c:pt idx="83">
                  <c:v>6.5206634803289592E-3</c:v>
                </c:pt>
                <c:pt idx="84">
                  <c:v>5.7837391828945229E-3</c:v>
                </c:pt>
                <c:pt idx="85">
                  <c:v>5.1249735230667684E-3</c:v>
                </c:pt>
                <c:pt idx="86">
                  <c:v>4.5332009811875984E-3</c:v>
                </c:pt>
                <c:pt idx="87">
                  <c:v>4.0195870769151121E-3</c:v>
                </c:pt>
                <c:pt idx="88">
                  <c:v>3.5618007709331129E-3</c:v>
                </c:pt>
                <c:pt idx="89">
                  <c:v>3.1486765435835042E-3</c:v>
                </c:pt>
                <c:pt idx="90">
                  <c:v>2.791379914524383E-3</c:v>
                </c:pt>
                <c:pt idx="91">
                  <c:v>2.4675798444395549E-3</c:v>
                </c:pt>
                <c:pt idx="92">
                  <c:v>2.177276333329019E-3</c:v>
                </c:pt>
                <c:pt idx="93">
                  <c:v>1.9316349008508733E-3</c:v>
                </c:pt>
                <c:pt idx="94">
                  <c:v>1.7083245076889228E-3</c:v>
                </c:pt>
                <c:pt idx="95">
                  <c:v>1.5073451538431669E-3</c:v>
                </c:pt>
                <c:pt idx="96">
                  <c:v>1.339862358971704E-3</c:v>
                </c:pt>
                <c:pt idx="97">
                  <c:v>1.2058761230745335E-3</c:v>
                </c:pt>
                <c:pt idx="98">
                  <c:v>1.0718898871773632E-3</c:v>
                </c:pt>
                <c:pt idx="99">
                  <c:v>9.4906917093829041E-4</c:v>
                </c:pt>
                <c:pt idx="100">
                  <c:v>8.3741397435731495E-4</c:v>
                </c:pt>
                <c:pt idx="101">
                  <c:v>7.3692429743443724E-4</c:v>
                </c:pt>
                <c:pt idx="102">
                  <c:v>6.4760014016965693E-4</c:v>
                </c:pt>
                <c:pt idx="103">
                  <c:v>5.6944150256297416E-4</c:v>
                </c:pt>
                <c:pt idx="104">
                  <c:v>5.0244838461438901E-4</c:v>
                </c:pt>
                <c:pt idx="105">
                  <c:v>4.3545526666580382E-4</c:v>
                </c:pt>
                <c:pt idx="106">
                  <c:v>3.796276683753162E-4</c:v>
                </c:pt>
                <c:pt idx="107">
                  <c:v>3.3496558974292599E-4</c:v>
                </c:pt>
                <c:pt idx="108">
                  <c:v>2.903035111105359E-4</c:v>
                </c:pt>
                <c:pt idx="109">
                  <c:v>2.4564143247814575E-4</c:v>
                </c:pt>
                <c:pt idx="110">
                  <c:v>2.1214487350385312E-4</c:v>
                </c:pt>
                <c:pt idx="111">
                  <c:v>1.898138341876581E-4</c:v>
                </c:pt>
                <c:pt idx="112">
                  <c:v>1.5631727521336547E-4</c:v>
                </c:pt>
                <c:pt idx="113">
                  <c:v>1.339862358971704E-4</c:v>
                </c:pt>
                <c:pt idx="114">
                  <c:v>1.1165519658097533E-4</c:v>
                </c:pt>
                <c:pt idx="115">
                  <c:v>1.004896769228778E-4</c:v>
                </c:pt>
                <c:pt idx="116">
                  <c:v>7.8158637606682736E-5</c:v>
                </c:pt>
                <c:pt idx="117">
                  <c:v>6.6993117948585198E-5</c:v>
                </c:pt>
                <c:pt idx="118">
                  <c:v>5.5827598290487667E-5</c:v>
                </c:pt>
                <c:pt idx="119">
                  <c:v>4.4662078632390137E-5</c:v>
                </c:pt>
                <c:pt idx="120">
                  <c:v>4.4662078632390137E-5</c:v>
                </c:pt>
                <c:pt idx="121">
                  <c:v>3.3496558974292599E-5</c:v>
                </c:pt>
                <c:pt idx="122">
                  <c:v>2.2331039316195068E-5</c:v>
                </c:pt>
                <c:pt idx="123">
                  <c:v>2.2331039316195068E-5</c:v>
                </c:pt>
                <c:pt idx="124">
                  <c:v>2.2331039316195068E-5</c:v>
                </c:pt>
                <c:pt idx="125">
                  <c:v>1.1165519658097534E-5</c:v>
                </c:pt>
                <c:pt idx="126">
                  <c:v>1.1165519658097534E-5</c:v>
                </c:pt>
                <c:pt idx="127">
                  <c:v>1.1165519658097534E-5</c:v>
                </c:pt>
                <c:pt idx="128">
                  <c:v>1.1165519658097534E-5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yVal>
          <c:smooth val="1"/>
        </c:ser>
        <c:ser>
          <c:idx val="4"/>
          <c:order val="3"/>
          <c:tx>
            <c:v>0,8M</c:v>
          </c:tx>
          <c:spPr>
            <a:ln w="2222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Recovery!$K$7:$K$146</c:f>
              <c:numCache>
                <c:formatCode>0.0000</c:formatCode>
                <c:ptCount val="140"/>
                <c:pt idx="0">
                  <c:v>1.5447966524869248</c:v>
                </c:pt>
                <c:pt idx="1">
                  <c:v>1.5429674444754544</c:v>
                </c:pt>
                <c:pt idx="2">
                  <c:v>1.5393090284525137</c:v>
                </c:pt>
                <c:pt idx="3">
                  <c:v>1.533836647818198</c:v>
                </c:pt>
                <c:pt idx="4">
                  <c:v>1.5265655459726035</c:v>
                </c:pt>
                <c:pt idx="5">
                  <c:v>1.5175262097159206</c:v>
                </c:pt>
                <c:pt idx="6">
                  <c:v>1.5067186390481497</c:v>
                </c:pt>
                <c:pt idx="7">
                  <c:v>1.4942038075696733</c:v>
                </c:pt>
                <c:pt idx="8">
                  <c:v>1.4799969586805866</c:v>
                </c:pt>
                <c:pt idx="9">
                  <c:v>1.4641438225811767</c:v>
                </c:pt>
                <c:pt idx="10">
                  <c:v>1.4467053728718258</c:v>
                </c:pt>
                <c:pt idx="11">
                  <c:v>1.4276968529526295</c:v>
                </c:pt>
                <c:pt idx="12">
                  <c:v>1.4072097232241612</c:v>
                </c:pt>
                <c:pt idx="13">
                  <c:v>1.385274470486612</c:v>
                </c:pt>
                <c:pt idx="14">
                  <c:v>1.3619673117404605</c:v>
                </c:pt>
                <c:pt idx="15">
                  <c:v>1.3373339771859927</c:v>
                </c:pt>
                <c:pt idx="16">
                  <c:v>1.3114659272237827</c:v>
                </c:pt>
                <c:pt idx="17">
                  <c:v>1.2844393788543078</c:v>
                </c:pt>
                <c:pt idx="18">
                  <c:v>1.2563000622778551</c:v>
                </c:pt>
                <c:pt idx="19">
                  <c:v>1.2271546812950938</c:v>
                </c:pt>
                <c:pt idx="20">
                  <c:v>1.1970489661063104</c:v>
                </c:pt>
                <c:pt idx="21">
                  <c:v>1.16610486391227</c:v>
                </c:pt>
                <c:pt idx="22">
                  <c:v>1.1343833483133543</c:v>
                </c:pt>
                <c:pt idx="23">
                  <c:v>1.101960636310042</c:v>
                </c:pt>
                <c:pt idx="24">
                  <c:v>1.068928188302906</c:v>
                </c:pt>
                <c:pt idx="25">
                  <c:v>1.0353927080926157</c:v>
                </c:pt>
                <c:pt idx="26">
                  <c:v>1.0014151692795537</c:v>
                </c:pt>
                <c:pt idx="27">
                  <c:v>0.96710227566438844</c:v>
                </c:pt>
                <c:pt idx="28">
                  <c:v>0.93251500084750272</c:v>
                </c:pt>
                <c:pt idx="29">
                  <c:v>0.8977600486295656</c:v>
                </c:pt>
                <c:pt idx="30">
                  <c:v>0.86292887941115037</c:v>
                </c:pt>
                <c:pt idx="31">
                  <c:v>0.82808246679263975</c:v>
                </c:pt>
                <c:pt idx="32">
                  <c:v>0.79331227117460701</c:v>
                </c:pt>
                <c:pt idx="33">
                  <c:v>0.75870975295762577</c:v>
                </c:pt>
                <c:pt idx="34">
                  <c:v>0.7243511291421737</c:v>
                </c:pt>
                <c:pt idx="35">
                  <c:v>0.69031261672872923</c:v>
                </c:pt>
                <c:pt idx="36">
                  <c:v>0.65665518931767419</c:v>
                </c:pt>
                <c:pt idx="37">
                  <c:v>0.62347030730958253</c:v>
                </c:pt>
                <c:pt idx="38">
                  <c:v>0.59080370090474066</c:v>
                </c:pt>
                <c:pt idx="39">
                  <c:v>0.55873158710362669</c:v>
                </c:pt>
                <c:pt idx="40">
                  <c:v>0.52733018290671851</c:v>
                </c:pt>
                <c:pt idx="41">
                  <c:v>0.49662997511420742</c:v>
                </c:pt>
                <c:pt idx="42">
                  <c:v>0.46670718072657119</c:v>
                </c:pt>
                <c:pt idx="43">
                  <c:v>0.43759228654400095</c:v>
                </c:pt>
                <c:pt idx="44">
                  <c:v>0.40934626616687919</c:v>
                </c:pt>
                <c:pt idx="45">
                  <c:v>0.38199960639539715</c:v>
                </c:pt>
                <c:pt idx="46">
                  <c:v>0.35559803742984136</c:v>
                </c:pt>
                <c:pt idx="47">
                  <c:v>0.33111713687632943</c:v>
                </c:pt>
                <c:pt idx="48">
                  <c:v>0.30698683452501607</c:v>
                </c:pt>
                <c:pt idx="49">
                  <c:v>0.2841674645819231</c:v>
                </c:pt>
                <c:pt idx="50">
                  <c:v>0.26262854024685939</c:v>
                </c:pt>
                <c:pt idx="51">
                  <c:v>0.24233957471963383</c:v>
                </c:pt>
                <c:pt idx="52">
                  <c:v>0.22325483779995953</c:v>
                </c:pt>
                <c:pt idx="53">
                  <c:v>0.20535908608774101</c:v>
                </c:pt>
                <c:pt idx="54">
                  <c:v>0.18860658938269148</c:v>
                </c:pt>
                <c:pt idx="55">
                  <c:v>0.17293637408442858</c:v>
                </c:pt>
                <c:pt idx="56">
                  <c:v>0.15831795339276117</c:v>
                </c:pt>
                <c:pt idx="57">
                  <c:v>0.14470559710740244</c:v>
                </c:pt>
                <c:pt idx="58">
                  <c:v>0.13206881842816123</c:v>
                </c:pt>
                <c:pt idx="59">
                  <c:v>0.12033140035455965</c:v>
                </c:pt>
                <c:pt idx="60">
                  <c:v>0.10947809948650207</c:v>
                </c:pt>
                <c:pt idx="61">
                  <c:v>9.9432698823510579E-2</c:v>
                </c:pt>
                <c:pt idx="62">
                  <c:v>9.0179954965489598E-2</c:v>
                </c:pt>
                <c:pt idx="63">
                  <c:v>8.2207656715497873E-2</c:v>
                </c:pt>
                <c:pt idx="64">
                  <c:v>7.4326818866079655E-2</c:v>
                </c:pt>
                <c:pt idx="65">
                  <c:v>6.7131934020962847E-2</c:v>
                </c:pt>
                <c:pt idx="66">
                  <c:v>6.0546785179669486E-2</c:v>
                </c:pt>
                <c:pt idx="67">
                  <c:v>5.4540885542008422E-2</c:v>
                </c:pt>
                <c:pt idx="68">
                  <c:v>4.9068504907692871E-2</c:v>
                </c:pt>
                <c:pt idx="69">
                  <c:v>4.4083913076436096E-2</c:v>
                </c:pt>
                <c:pt idx="70">
                  <c:v>3.9571866648142495E-2</c:v>
                </c:pt>
                <c:pt idx="71">
                  <c:v>3.5471392022429729E-2</c:v>
                </c:pt>
                <c:pt idx="72">
                  <c:v>3.1752002399106631E-2</c:v>
                </c:pt>
                <c:pt idx="73">
                  <c:v>2.8398454378077607E-2</c:v>
                </c:pt>
                <c:pt idx="74">
                  <c:v>2.5365017759055898E-2</c:v>
                </c:pt>
                <c:pt idx="75">
                  <c:v>2.263644914194592E-2</c:v>
                </c:pt>
                <c:pt idx="76">
                  <c:v>2.0182261726556495E-2</c:v>
                </c:pt>
                <c:pt idx="77">
                  <c:v>1.7956725312600869E-2</c:v>
                </c:pt>
                <c:pt idx="78">
                  <c:v>1.5975083300174629E-2</c:v>
                </c:pt>
                <c:pt idx="79">
                  <c:v>1.419160548899101E-2</c:v>
                </c:pt>
                <c:pt idx="80">
                  <c:v>1.2773969280101466E-2</c:v>
                </c:pt>
                <c:pt idx="81">
                  <c:v>1.1325846271020753E-2</c:v>
                </c:pt>
                <c:pt idx="82">
                  <c:v>1.0045400662991489E-2</c:v>
                </c:pt>
                <c:pt idx="83">
                  <c:v>8.9021456558225024E-3</c:v>
                </c:pt>
                <c:pt idx="84">
                  <c:v>7.896081249513796E-3</c:v>
                </c:pt>
                <c:pt idx="85">
                  <c:v>6.9967206438741924E-3</c:v>
                </c:pt>
                <c:pt idx="86">
                  <c:v>6.1888204388081099E-3</c:v>
                </c:pt>
                <c:pt idx="87">
                  <c:v>5.4876240344111319E-3</c:v>
                </c:pt>
                <c:pt idx="88">
                  <c:v>4.8626446304920858E-3</c:v>
                </c:pt>
                <c:pt idx="89">
                  <c:v>4.2986388269553866E-3</c:v>
                </c:pt>
                <c:pt idx="90">
                  <c:v>3.8108500238966188E-3</c:v>
                </c:pt>
                <c:pt idx="91">
                  <c:v>3.3687914211246112E-3</c:v>
                </c:pt>
                <c:pt idx="92">
                  <c:v>2.9724630186393629E-3</c:v>
                </c:pt>
                <c:pt idx="93">
                  <c:v>2.6371082165364606E-3</c:v>
                </c:pt>
                <c:pt idx="94">
                  <c:v>2.3322402146247309E-3</c:v>
                </c:pt>
                <c:pt idx="95">
                  <c:v>2.0578590129041742E-3</c:v>
                </c:pt>
                <c:pt idx="96">
                  <c:v>1.8292080114703771E-3</c:v>
                </c:pt>
                <c:pt idx="97">
                  <c:v>1.6462872103233394E-3</c:v>
                </c:pt>
                <c:pt idx="98">
                  <c:v>1.4633664091763018E-3</c:v>
                </c:pt>
                <c:pt idx="99">
                  <c:v>1.2956890081248504E-3</c:v>
                </c:pt>
                <c:pt idx="100">
                  <c:v>1.1432550071689858E-3</c:v>
                </c:pt>
                <c:pt idx="101">
                  <c:v>1.0060644063087075E-3</c:v>
                </c:pt>
                <c:pt idx="102">
                  <c:v>8.8411720554401564E-4</c:v>
                </c:pt>
                <c:pt idx="103">
                  <c:v>7.7741340487491031E-4</c:v>
                </c:pt>
                <c:pt idx="104">
                  <c:v>6.8595300430139149E-4</c:v>
                </c:pt>
                <c:pt idx="105">
                  <c:v>5.9449260372787256E-4</c:v>
                </c:pt>
                <c:pt idx="106">
                  <c:v>5.1827560324994024E-4</c:v>
                </c:pt>
                <c:pt idx="107">
                  <c:v>4.5730200286759427E-4</c:v>
                </c:pt>
                <c:pt idx="108">
                  <c:v>3.9632840248524841E-4</c:v>
                </c:pt>
                <c:pt idx="109">
                  <c:v>3.3535480210290244E-4</c:v>
                </c:pt>
                <c:pt idx="110">
                  <c:v>2.8962460181614303E-4</c:v>
                </c:pt>
                <c:pt idx="111">
                  <c:v>2.5913780162497012E-4</c:v>
                </c:pt>
                <c:pt idx="112">
                  <c:v>2.1340760133821068E-4</c:v>
                </c:pt>
                <c:pt idx="113">
                  <c:v>1.8292080114703772E-4</c:v>
                </c:pt>
                <c:pt idx="114">
                  <c:v>1.5243400095586477E-4</c:v>
                </c:pt>
                <c:pt idx="115">
                  <c:v>1.3719060086027829E-4</c:v>
                </c:pt>
                <c:pt idx="116">
                  <c:v>1.0670380066910534E-4</c:v>
                </c:pt>
                <c:pt idx="117">
                  <c:v>9.1460400573518862E-5</c:v>
                </c:pt>
                <c:pt idx="118">
                  <c:v>7.6217000477932383E-5</c:v>
                </c:pt>
                <c:pt idx="119">
                  <c:v>6.097360038234591E-5</c:v>
                </c:pt>
                <c:pt idx="120">
                  <c:v>6.097360038234591E-5</c:v>
                </c:pt>
                <c:pt idx="121">
                  <c:v>4.5730200286759431E-5</c:v>
                </c:pt>
                <c:pt idx="122">
                  <c:v>3.0486800191172955E-5</c:v>
                </c:pt>
                <c:pt idx="123">
                  <c:v>3.0486800191172955E-5</c:v>
                </c:pt>
                <c:pt idx="124">
                  <c:v>3.0486800191172955E-5</c:v>
                </c:pt>
                <c:pt idx="125">
                  <c:v>1.5243400095586478E-5</c:v>
                </c:pt>
                <c:pt idx="126">
                  <c:v>1.5243400095586478E-5</c:v>
                </c:pt>
                <c:pt idx="127">
                  <c:v>1.5243400095586478E-5</c:v>
                </c:pt>
                <c:pt idx="128">
                  <c:v>1.5243400095586478E-5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yVal>
          <c:smooth val="1"/>
        </c:ser>
        <c:ser>
          <c:idx val="2"/>
          <c:order val="4"/>
          <c:tx>
            <c:v>1,6M</c:v>
          </c:tx>
          <c:spPr>
            <a:ln w="22225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Recovery!$M$7:$M$146</c:f>
              <c:numCache>
                <c:formatCode>0.0000</c:formatCode>
                <c:ptCount val="140"/>
                <c:pt idx="0">
                  <c:v>4.3074549099264221</c:v>
                </c:pt>
                <c:pt idx="1">
                  <c:v>4.3023544127071931</c:v>
                </c:pt>
                <c:pt idx="2">
                  <c:v>4.2921534182687333</c:v>
                </c:pt>
                <c:pt idx="3">
                  <c:v>4.2768944307545382</c:v>
                </c:pt>
                <c:pt idx="4">
                  <c:v>4.2566199543081007</c:v>
                </c:pt>
                <c:pt idx="5">
                  <c:v>4.2314149972164072</c:v>
                </c:pt>
                <c:pt idx="6">
                  <c:v>4.2012795594794587</c:v>
                </c:pt>
                <c:pt idx="7">
                  <c:v>4.1663836576712292</c:v>
                </c:pt>
                <c:pt idx="8">
                  <c:v>4.1267697959352123</c:v>
                </c:pt>
                <c:pt idx="9">
                  <c:v>4.0825654867018883</c:v>
                </c:pt>
                <c:pt idx="10">
                  <c:v>4.033940746545233</c:v>
                </c:pt>
                <c:pt idx="11">
                  <c:v>3.9809380796087384</c:v>
                </c:pt>
                <c:pt idx="12">
                  <c:v>3.9238125107533661</c:v>
                </c:pt>
                <c:pt idx="13">
                  <c:v>3.8626490482661042</c:v>
                </c:pt>
                <c:pt idx="14">
                  <c:v>3.7976602128644195</c:v>
                </c:pt>
                <c:pt idx="15">
                  <c:v>3.7289735169787939</c:v>
                </c:pt>
                <c:pt idx="16">
                  <c:v>3.6568439854701875</c:v>
                </c:pt>
                <c:pt idx="17">
                  <c:v>3.5814841390560694</c:v>
                </c:pt>
                <c:pt idx="18">
                  <c:v>3.5030214901669203</c:v>
                </c:pt>
                <c:pt idx="19">
                  <c:v>3.4217535678071949</c:v>
                </c:pt>
                <c:pt idx="20">
                  <c:v>3.3378078844073733</c:v>
                </c:pt>
                <c:pt idx="21">
                  <c:v>3.2515244731154054</c:v>
                </c:pt>
                <c:pt idx="22">
                  <c:v>3.1630733505052642</c:v>
                </c:pt>
                <c:pt idx="23">
                  <c:v>3.0726670372944191</c:v>
                </c:pt>
                <c:pt idx="24">
                  <c:v>2.9805605583438308</c:v>
                </c:pt>
                <c:pt idx="25">
                  <c:v>2.8870514426579534</c:v>
                </c:pt>
                <c:pt idx="26">
                  <c:v>2.7923097068107627</c:v>
                </c:pt>
                <c:pt idx="27">
                  <c:v>2.6966328798067134</c:v>
                </c:pt>
                <c:pt idx="28">
                  <c:v>2.6001909782197794</c:v>
                </c:pt>
                <c:pt idx="29">
                  <c:v>2.5032815310544163</c:v>
                </c:pt>
                <c:pt idx="30">
                  <c:v>2.4061595631715851</c:v>
                </c:pt>
                <c:pt idx="31">
                  <c:v>2.3089950911452606</c:v>
                </c:pt>
                <c:pt idx="32">
                  <c:v>2.2120431398364038</c:v>
                </c:pt>
                <c:pt idx="33">
                  <c:v>2.1155587341059761</c:v>
                </c:pt>
                <c:pt idx="34">
                  <c:v>2.019754394671446</c:v>
                </c:pt>
                <c:pt idx="35">
                  <c:v>1.9248426422502811</c:v>
                </c:pt>
                <c:pt idx="36">
                  <c:v>1.8309934934164556</c:v>
                </c:pt>
                <c:pt idx="37">
                  <c:v>1.738461973030931</c:v>
                </c:pt>
                <c:pt idx="38">
                  <c:v>1.6473755935241881</c:v>
                </c:pt>
                <c:pt idx="39">
                  <c:v>1.5579468756136949</c:v>
                </c:pt>
                <c:pt idx="40">
                  <c:v>1.4703883400169195</c:v>
                </c:pt>
                <c:pt idx="41">
                  <c:v>1.3847849950208486</c:v>
                </c:pt>
                <c:pt idx="42">
                  <c:v>1.3013493613429505</c:v>
                </c:pt>
                <c:pt idx="43">
                  <c:v>1.2201664472702118</c:v>
                </c:pt>
                <c:pt idx="44">
                  <c:v>1.1414062693766076</c:v>
                </c:pt>
                <c:pt idx="45">
                  <c:v>1.0651538359491244</c:v>
                </c:pt>
                <c:pt idx="46">
                  <c:v>0.99153665941824309</c:v>
                </c:pt>
                <c:pt idx="47">
                  <c:v>0.92327500496755299</c:v>
                </c:pt>
                <c:pt idx="48">
                  <c:v>0.85599094581721524</c:v>
                </c:pt>
                <c:pt idx="49">
                  <c:v>0.7923622430073255</c:v>
                </c:pt>
                <c:pt idx="50">
                  <c:v>0.73230388825089632</c:v>
                </c:pt>
                <c:pt idx="51">
                  <c:v>0.67573087326094083</c:v>
                </c:pt>
                <c:pt idx="52">
                  <c:v>0.62251568560697823</c:v>
                </c:pt>
                <c:pt idx="53">
                  <c:v>0.5726158211455149</c:v>
                </c:pt>
                <c:pt idx="54">
                  <c:v>0.52590376744606993</c:v>
                </c:pt>
                <c:pt idx="55">
                  <c:v>0.48220950793466938</c:v>
                </c:pt>
                <c:pt idx="56">
                  <c:v>0.44144803432432578</c:v>
                </c:pt>
                <c:pt idx="57">
                  <c:v>0.40349183418455853</c:v>
                </c:pt>
                <c:pt idx="58">
                  <c:v>0.36825589922838037</c:v>
                </c:pt>
                <c:pt idx="59">
                  <c:v>0.33552770873832349</c:v>
                </c:pt>
                <c:pt idx="60">
                  <c:v>0.30526475857089425</c:v>
                </c:pt>
                <c:pt idx="61">
                  <c:v>0.27725452800862482</c:v>
                </c:pt>
                <c:pt idx="62">
                  <c:v>0.25145451290802151</c:v>
                </c:pt>
                <c:pt idx="63">
                  <c:v>0.22922484586087896</c:v>
                </c:pt>
                <c:pt idx="64">
                  <c:v>0.2072502036746979</c:v>
                </c:pt>
                <c:pt idx="65">
                  <c:v>0.187188247945728</c:v>
                </c:pt>
                <c:pt idx="66">
                  <c:v>0.16882645795650125</c:v>
                </c:pt>
                <c:pt idx="67">
                  <c:v>0.1520798254200306</c:v>
                </c:pt>
                <c:pt idx="68">
                  <c:v>0.13682083790583524</c:v>
                </c:pt>
                <c:pt idx="69">
                  <c:v>0.12292198298343444</c:v>
                </c:pt>
                <c:pt idx="70">
                  <c:v>0.11034075650933466</c:v>
                </c:pt>
                <c:pt idx="71">
                  <c:v>9.8907141909561541E-2</c:v>
                </c:pt>
                <c:pt idx="72">
                  <c:v>8.8536130897127932E-2</c:v>
                </c:pt>
                <c:pt idx="73">
                  <c:v>7.9185219328540238E-2</c:v>
                </c:pt>
                <c:pt idx="74">
                  <c:v>7.0726894773317742E-2</c:v>
                </c:pt>
                <c:pt idx="75">
                  <c:v>6.3118653087966853E-2</c:v>
                </c:pt>
                <c:pt idx="76">
                  <c:v>5.6275485985500417E-2</c:v>
                </c:pt>
                <c:pt idx="77">
                  <c:v>5.0069881035437684E-2</c:v>
                </c:pt>
                <c:pt idx="78">
                  <c:v>4.4544342381272237E-2</c:v>
                </c:pt>
                <c:pt idx="79">
                  <c:v>3.957135759252333E-2</c:v>
                </c:pt>
                <c:pt idx="80">
                  <c:v>3.561847224762036E-2</c:v>
                </c:pt>
                <c:pt idx="81">
                  <c:v>3.1580578615730222E-2</c:v>
                </c:pt>
                <c:pt idx="82">
                  <c:v>2.8010230562269468E-2</c:v>
                </c:pt>
                <c:pt idx="83">
                  <c:v>2.482241980025094E-2</c:v>
                </c:pt>
                <c:pt idx="84">
                  <c:v>2.2017146329674633E-2</c:v>
                </c:pt>
                <c:pt idx="85">
                  <c:v>1.9509401863553395E-2</c:v>
                </c:pt>
                <c:pt idx="86">
                  <c:v>1.7256682258393632E-2</c:v>
                </c:pt>
                <c:pt idx="87">
                  <c:v>1.5301491657688937E-2</c:v>
                </c:pt>
                <c:pt idx="88">
                  <c:v>1.355882177445214E-2</c:v>
                </c:pt>
                <c:pt idx="89">
                  <c:v>1.1986168465189666E-2</c:v>
                </c:pt>
                <c:pt idx="90">
                  <c:v>1.0626035873395095E-2</c:v>
                </c:pt>
                <c:pt idx="91">
                  <c:v>9.3934157120812625E-3</c:v>
                </c:pt>
                <c:pt idx="92">
                  <c:v>8.288307981248173E-3</c:v>
                </c:pt>
                <c:pt idx="93">
                  <c:v>7.3532168243894058E-3</c:v>
                </c:pt>
                <c:pt idx="94">
                  <c:v>6.5031339545177976E-3</c:v>
                </c:pt>
                <c:pt idx="95">
                  <c:v>5.738059371633351E-3</c:v>
                </c:pt>
                <c:pt idx="96">
                  <c:v>5.1004972192296456E-3</c:v>
                </c:pt>
                <c:pt idx="97">
                  <c:v>4.5904474973066803E-3</c:v>
                </c:pt>
                <c:pt idx="98">
                  <c:v>4.0803977753837159E-3</c:v>
                </c:pt>
                <c:pt idx="99">
                  <c:v>3.6128521969543323E-3</c:v>
                </c:pt>
                <c:pt idx="100">
                  <c:v>3.1878107620185283E-3</c:v>
                </c:pt>
                <c:pt idx="101">
                  <c:v>2.805273470576305E-3</c:v>
                </c:pt>
                <c:pt idx="102">
                  <c:v>2.4652403226276621E-3</c:v>
                </c:pt>
                <c:pt idx="103">
                  <c:v>2.1677113181725991E-3</c:v>
                </c:pt>
                <c:pt idx="104">
                  <c:v>1.9126864572111171E-3</c:v>
                </c:pt>
                <c:pt idx="105">
                  <c:v>1.6576615962496347E-3</c:v>
                </c:pt>
                <c:pt idx="106">
                  <c:v>1.4451408787817329E-3</c:v>
                </c:pt>
                <c:pt idx="107">
                  <c:v>1.2751243048074114E-3</c:v>
                </c:pt>
                <c:pt idx="108">
                  <c:v>1.1051077308330897E-3</c:v>
                </c:pt>
                <c:pt idx="109">
                  <c:v>9.3509115685876836E-4</c:v>
                </c:pt>
                <c:pt idx="110">
                  <c:v>8.0757872637802716E-4</c:v>
                </c:pt>
                <c:pt idx="111">
                  <c:v>7.2257043939086643E-4</c:v>
                </c:pt>
                <c:pt idx="112">
                  <c:v>5.9505800891012522E-4</c:v>
                </c:pt>
                <c:pt idx="113">
                  <c:v>5.1004972192296449E-4</c:v>
                </c:pt>
                <c:pt idx="114">
                  <c:v>4.2504143493580382E-4</c:v>
                </c:pt>
                <c:pt idx="115">
                  <c:v>3.825372914422234E-4</c:v>
                </c:pt>
                <c:pt idx="116">
                  <c:v>2.9752900445506261E-4</c:v>
                </c:pt>
                <c:pt idx="117">
                  <c:v>2.5502486096148225E-4</c:v>
                </c:pt>
                <c:pt idx="118">
                  <c:v>2.1252071746790191E-4</c:v>
                </c:pt>
                <c:pt idx="119">
                  <c:v>1.7001657397432152E-4</c:v>
                </c:pt>
                <c:pt idx="120">
                  <c:v>1.7001657397432152E-4</c:v>
                </c:pt>
                <c:pt idx="121">
                  <c:v>1.2751243048074112E-4</c:v>
                </c:pt>
                <c:pt idx="122">
                  <c:v>8.5008286987160758E-5</c:v>
                </c:pt>
                <c:pt idx="123">
                  <c:v>8.5008286987160758E-5</c:v>
                </c:pt>
                <c:pt idx="124">
                  <c:v>8.5008286987160758E-5</c:v>
                </c:pt>
                <c:pt idx="125">
                  <c:v>4.2504143493580379E-5</c:v>
                </c:pt>
                <c:pt idx="126">
                  <c:v>4.2504143493580379E-5</c:v>
                </c:pt>
                <c:pt idx="127">
                  <c:v>4.2504143493580379E-5</c:v>
                </c:pt>
                <c:pt idx="128">
                  <c:v>4.2504143493580379E-5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yVal>
          <c:smooth val="1"/>
        </c:ser>
        <c:ser>
          <c:idx val="1"/>
          <c:order val="5"/>
          <c:tx>
            <c:v>3,5M</c:v>
          </c:tx>
          <c:spPr>
            <a:ln w="222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Recovery!$O$7:$O$146</c:f>
              <c:numCache>
                <c:formatCode>0.0000</c:formatCode>
                <c:ptCount val="140"/>
                <c:pt idx="0">
                  <c:v>77.295872480877037</c:v>
                </c:pt>
                <c:pt idx="1">
                  <c:v>77.204345722990823</c:v>
                </c:pt>
                <c:pt idx="2">
                  <c:v>77.021292207218394</c:v>
                </c:pt>
                <c:pt idx="3">
                  <c:v>76.74747465654211</c:v>
                </c:pt>
                <c:pt idx="4">
                  <c:v>76.383655793944399</c:v>
                </c:pt>
                <c:pt idx="5">
                  <c:v>75.931361065389993</c:v>
                </c:pt>
                <c:pt idx="6">
                  <c:v>75.390590470878905</c:v>
                </c:pt>
                <c:pt idx="7">
                  <c:v>74.764394902340698</c:v>
                </c:pt>
                <c:pt idx="8">
                  <c:v>74.053537082757728</c:v>
                </c:pt>
                <c:pt idx="9">
                  <c:v>73.260305181077157</c:v>
                </c:pt>
                <c:pt idx="10">
                  <c:v>72.387750089228533</c:v>
                </c:pt>
                <c:pt idx="11">
                  <c:v>71.43663453019424</c:v>
                </c:pt>
                <c:pt idx="12">
                  <c:v>70.411534841868573</c:v>
                </c:pt>
                <c:pt idx="13">
                  <c:v>69.313976470216332</c:v>
                </c:pt>
                <c:pt idx="14">
                  <c:v>68.147773030149409</c:v>
                </c:pt>
                <c:pt idx="15">
                  <c:v>66.915212690614993</c:v>
                </c:pt>
                <c:pt idx="16">
                  <c:v>65.620871789507376</c:v>
                </c:pt>
                <c:pt idx="17">
                  <c:v>64.268563941738478</c:v>
                </c:pt>
                <c:pt idx="18">
                  <c:v>62.86057731625548</c:v>
                </c:pt>
                <c:pt idx="19">
                  <c:v>61.402250973935047</c:v>
                </c:pt>
                <c:pt idx="20">
                  <c:v>59.895873083724354</c:v>
                </c:pt>
                <c:pt idx="21">
                  <c:v>58.34754542948248</c:v>
                </c:pt>
                <c:pt idx="22">
                  <c:v>56.760318903138952</c:v>
                </c:pt>
                <c:pt idx="23">
                  <c:v>55.138007119605717</c:v>
                </c:pt>
                <c:pt idx="24">
                  <c:v>53.485186416777076</c:v>
                </c:pt>
                <c:pt idx="25">
                  <c:v>51.80719585552972</c:v>
                </c:pt>
                <c:pt idx="26">
                  <c:v>50.107086327793191</c:v>
                </c:pt>
                <c:pt idx="27">
                  <c:v>48.390196894444188</c:v>
                </c:pt>
                <c:pt idx="28">
                  <c:v>46.659578447412265</c:v>
                </c:pt>
                <c:pt idx="29">
                  <c:v>44.920570047574088</c:v>
                </c:pt>
                <c:pt idx="30">
                  <c:v>43.177748032823999</c:v>
                </c:pt>
                <c:pt idx="31">
                  <c:v>41.434163295091516</c:v>
                </c:pt>
                <c:pt idx="32">
                  <c:v>39.694392172270959</c:v>
                </c:pt>
                <c:pt idx="33">
                  <c:v>37.96301100225665</c:v>
                </c:pt>
                <c:pt idx="34">
                  <c:v>36.243833399960494</c:v>
                </c:pt>
                <c:pt idx="35">
                  <c:v>34.540672980294431</c:v>
                </c:pt>
                <c:pt idx="36">
                  <c:v>32.856580635187989</c:v>
                </c:pt>
                <c:pt idx="37">
                  <c:v>31.196132702535493</c:v>
                </c:pt>
                <c:pt idx="38">
                  <c:v>29.561617351284092</c:v>
                </c:pt>
                <c:pt idx="39">
                  <c:v>27.956848196345714</c:v>
                </c:pt>
                <c:pt idx="40">
                  <c:v>26.38563885263228</c:v>
                </c:pt>
                <c:pt idx="41">
                  <c:v>24.849514766108566</c:v>
                </c:pt>
                <c:pt idx="42">
                  <c:v>23.352289551686489</c:v>
                </c:pt>
                <c:pt idx="43">
                  <c:v>21.895488655330833</c:v>
                </c:pt>
                <c:pt idx="44">
                  <c:v>20.482162968971128</c:v>
                </c:pt>
                <c:pt idx="45">
                  <c:v>19.11383793857215</c:v>
                </c:pt>
                <c:pt idx="46">
                  <c:v>17.792801733081049</c:v>
                </c:pt>
                <c:pt idx="47">
                  <c:v>16.567868623370479</c:v>
                </c:pt>
                <c:pt idx="48">
                  <c:v>15.360478142254768</c:v>
                </c:pt>
                <c:pt idx="49">
                  <c:v>14.218681837624182</c:v>
                </c:pt>
                <c:pt idx="50">
                  <c:v>13.140954263513949</c:v>
                </c:pt>
                <c:pt idx="51">
                  <c:v>12.125769973959299</c:v>
                </c:pt>
                <c:pt idx="52">
                  <c:v>11.170840800013076</c:v>
                </c:pt>
                <c:pt idx="53">
                  <c:v>10.275404018692896</c:v>
                </c:pt>
                <c:pt idx="54">
                  <c:v>9.4371714610516051</c:v>
                </c:pt>
                <c:pt idx="55">
                  <c:v>8.653092235159658</c:v>
                </c:pt>
                <c:pt idx="56">
                  <c:v>7.9216408950522883</c:v>
                </c:pt>
                <c:pt idx="57">
                  <c:v>7.2405292717823384</c:v>
                </c:pt>
                <c:pt idx="58">
                  <c:v>6.6082319193850401</c:v>
                </c:pt>
                <c:pt idx="59">
                  <c:v>6.0209352229484656</c:v>
                </c:pt>
                <c:pt idx="60">
                  <c:v>5.4778764594902309</c:v>
                </c:pt>
                <c:pt idx="61">
                  <c:v>4.9752420140984093</c:v>
                </c:pt>
                <c:pt idx="62">
                  <c:v>4.5122691637906156</c:v>
                </c:pt>
                <c:pt idx="63">
                  <c:v>4.1133650440031762</c:v>
                </c:pt>
                <c:pt idx="64">
                  <c:v>3.7190372621100476</c:v>
                </c:pt>
                <c:pt idx="65">
                  <c:v>3.3590320144242516</c:v>
                </c:pt>
                <c:pt idx="66">
                  <c:v>3.0295356860338618</c:v>
                </c:pt>
                <c:pt idx="67">
                  <c:v>2.7290228309741082</c:v>
                </c:pt>
                <c:pt idx="68">
                  <c:v>2.455205280297835</c:v>
                </c:pt>
                <c:pt idx="69">
                  <c:v>2.2057948650578871</c:v>
                </c:pt>
                <c:pt idx="70">
                  <c:v>1.9800288622718794</c:v>
                </c:pt>
                <c:pt idx="71">
                  <c:v>1.774856380010271</c:v>
                </c:pt>
                <c:pt idx="72">
                  <c:v>1.5887519723082917</c:v>
                </c:pt>
                <c:pt idx="73">
                  <c:v>1.4209529161835561</c:v>
                </c:pt>
                <c:pt idx="74">
                  <c:v>1.2691710426889089</c:v>
                </c:pt>
                <c:pt idx="75">
                  <c:v>1.132643628841965</c:v>
                </c:pt>
                <c:pt idx="76">
                  <c:v>1.0098452286779538</c:v>
                </c:pt>
                <c:pt idx="77">
                  <c:v>0.89848767324972034</c:v>
                </c:pt>
                <c:pt idx="78">
                  <c:v>0.79933368553964934</c:v>
                </c:pt>
                <c:pt idx="79">
                  <c:v>0.71009509660058534</c:v>
                </c:pt>
                <c:pt idx="80">
                  <c:v>0.63916185923876534</c:v>
                </c:pt>
                <c:pt idx="81">
                  <c:v>0.56670317591217512</c:v>
                </c:pt>
                <c:pt idx="82">
                  <c:v>0.50263444539182145</c:v>
                </c:pt>
                <c:pt idx="83">
                  <c:v>0.44543022171293434</c:v>
                </c:pt>
                <c:pt idx="84">
                  <c:v>0.39509050487551373</c:v>
                </c:pt>
                <c:pt idx="85">
                  <c:v>0.35008984891478917</c:v>
                </c:pt>
                <c:pt idx="86">
                  <c:v>0.30966553084837561</c:v>
                </c:pt>
                <c:pt idx="87">
                  <c:v>0.27458027365865817</c:v>
                </c:pt>
                <c:pt idx="88">
                  <c:v>0.24330863138086653</c:v>
                </c:pt>
                <c:pt idx="89">
                  <c:v>0.21508788103261556</c:v>
                </c:pt>
                <c:pt idx="90">
                  <c:v>0.19068074559629039</c:v>
                </c:pt>
                <c:pt idx="91">
                  <c:v>0.16856177910712072</c:v>
                </c:pt>
                <c:pt idx="92">
                  <c:v>0.1487309815651065</c:v>
                </c:pt>
                <c:pt idx="93">
                  <c:v>0.13195107595263295</c:v>
                </c:pt>
                <c:pt idx="94">
                  <c:v>0.11669661630492972</c:v>
                </c:pt>
                <c:pt idx="95">
                  <c:v>0.10296760262199681</c:v>
                </c:pt>
                <c:pt idx="96">
                  <c:v>9.152675788621939E-2</c:v>
                </c:pt>
                <c:pt idx="97">
                  <c:v>8.2374082097597459E-2</c:v>
                </c:pt>
                <c:pt idx="98">
                  <c:v>7.3221406308975515E-2</c:v>
                </c:pt>
                <c:pt idx="99">
                  <c:v>6.4831453502738737E-2</c:v>
                </c:pt>
                <c:pt idx="100">
                  <c:v>5.7204223678887119E-2</c:v>
                </c:pt>
                <c:pt idx="101">
                  <c:v>5.0339716837420667E-2</c:v>
                </c:pt>
                <c:pt idx="102">
                  <c:v>4.4237932978339368E-2</c:v>
                </c:pt>
                <c:pt idx="103">
                  <c:v>3.8898872101643243E-2</c:v>
                </c:pt>
                <c:pt idx="104">
                  <c:v>3.4322534207332271E-2</c:v>
                </c:pt>
                <c:pt idx="105">
                  <c:v>2.9746196313021302E-2</c:v>
                </c:pt>
                <c:pt idx="106">
                  <c:v>2.5932581401095493E-2</c:v>
                </c:pt>
                <c:pt idx="107">
                  <c:v>2.2881689471554847E-2</c:v>
                </c:pt>
                <c:pt idx="108">
                  <c:v>1.9830797542014202E-2</c:v>
                </c:pt>
                <c:pt idx="109">
                  <c:v>1.6779905612473552E-2</c:v>
                </c:pt>
                <c:pt idx="110">
                  <c:v>1.449173666531807E-2</c:v>
                </c:pt>
                <c:pt idx="111">
                  <c:v>1.2966290700547747E-2</c:v>
                </c:pt>
                <c:pt idx="112">
                  <c:v>1.0678121753392261E-2</c:v>
                </c:pt>
                <c:pt idx="113">
                  <c:v>9.1526757886219393E-3</c:v>
                </c:pt>
                <c:pt idx="114">
                  <c:v>7.6272298238516155E-3</c:v>
                </c:pt>
                <c:pt idx="115">
                  <c:v>6.8645068414664549E-3</c:v>
                </c:pt>
                <c:pt idx="116">
                  <c:v>5.3390608766961303E-3</c:v>
                </c:pt>
                <c:pt idx="117">
                  <c:v>4.5763378943109697E-3</c:v>
                </c:pt>
                <c:pt idx="118">
                  <c:v>3.8136149119258078E-3</c:v>
                </c:pt>
                <c:pt idx="119">
                  <c:v>3.0508919295406463E-3</c:v>
                </c:pt>
                <c:pt idx="120">
                  <c:v>3.0508919295406463E-3</c:v>
                </c:pt>
                <c:pt idx="121">
                  <c:v>2.2881689471554848E-3</c:v>
                </c:pt>
                <c:pt idx="122">
                  <c:v>1.5254459647703231E-3</c:v>
                </c:pt>
                <c:pt idx="123">
                  <c:v>1.5254459647703231E-3</c:v>
                </c:pt>
                <c:pt idx="124">
                  <c:v>1.5254459647703231E-3</c:v>
                </c:pt>
                <c:pt idx="125">
                  <c:v>7.6272298238516157E-4</c:v>
                </c:pt>
                <c:pt idx="126">
                  <c:v>7.6272298238516157E-4</c:v>
                </c:pt>
                <c:pt idx="127">
                  <c:v>7.6272298238516157E-4</c:v>
                </c:pt>
                <c:pt idx="128">
                  <c:v>7.6272298238516157E-4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yVal>
          <c:smooth val="1"/>
        </c:ser>
        <c:ser>
          <c:idx val="3"/>
          <c:order val="6"/>
          <c:tx>
            <c:v>7,0M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Recovery!$Q$7:$Q$146</c:f>
              <c:numCache>
                <c:formatCode>0.0</c:formatCode>
                <c:ptCount val="140"/>
                <c:pt idx="0">
                  <c:v>4195.3926702212239</c:v>
                </c:pt>
                <c:pt idx="1">
                  <c:v>4190.4248669370327</c:v>
                </c:pt>
                <c:pt idx="2">
                  <c:v>4180.4892603686494</c:v>
                </c:pt>
                <c:pt idx="3">
                  <c:v>4165.6272488767763</c:v>
                </c:pt>
                <c:pt idx="4">
                  <c:v>4145.8802308221148</c:v>
                </c:pt>
                <c:pt idx="5">
                  <c:v>4121.3310029260674</c:v>
                </c:pt>
                <c:pt idx="6">
                  <c:v>4091.9795651886352</c:v>
                </c:pt>
                <c:pt idx="7">
                  <c:v>4057.9915110526244</c:v>
                </c:pt>
                <c:pt idx="8">
                  <c:v>4019.408238878736</c:v>
                </c:pt>
                <c:pt idx="9">
                  <c:v>3976.3539437490754</c:v>
                </c:pt>
                <c:pt idx="10">
                  <c:v>3928.9942191064488</c:v>
                </c:pt>
                <c:pt idx="11">
                  <c:v>3877.3704633115572</c:v>
                </c:pt>
                <c:pt idx="12">
                  <c:v>3821.7310665286113</c:v>
                </c:pt>
                <c:pt idx="13">
                  <c:v>3762.1588254790131</c:v>
                </c:pt>
                <c:pt idx="14">
                  <c:v>3698.8607319662719</c:v>
                </c:pt>
                <c:pt idx="15">
                  <c:v>3631.9609810724914</c:v>
                </c:pt>
                <c:pt idx="16">
                  <c:v>3561.7079629618815</c:v>
                </c:pt>
                <c:pt idx="17">
                  <c:v>3488.3086694379508</c:v>
                </c:pt>
                <c:pt idx="18">
                  <c:v>3411.8872955828028</c:v>
                </c:pt>
                <c:pt idx="19">
                  <c:v>3332.7336299213498</c:v>
                </c:pt>
                <c:pt idx="20">
                  <c:v>3250.9718675356962</c:v>
                </c:pt>
                <c:pt idx="21">
                  <c:v>3166.9331953114547</c:v>
                </c:pt>
                <c:pt idx="22">
                  <c:v>3080.7832066914316</c:v>
                </c:pt>
                <c:pt idx="23">
                  <c:v>2992.728893479135</c:v>
                </c:pt>
                <c:pt idx="24">
                  <c:v>2903.0186458387752</c:v>
                </c:pt>
                <c:pt idx="25">
                  <c:v>2811.9422522952618</c:v>
                </c:pt>
                <c:pt idx="26">
                  <c:v>2719.6653062914024</c:v>
                </c:pt>
                <c:pt idx="27">
                  <c:v>2626.4775963521083</c:v>
                </c:pt>
                <c:pt idx="28">
                  <c:v>2532.5447159201849</c:v>
                </c:pt>
                <c:pt idx="29">
                  <c:v>2438.1564535205443</c:v>
                </c:pt>
                <c:pt idx="30">
                  <c:v>2343.5611993173952</c:v>
                </c:pt>
                <c:pt idx="31">
                  <c:v>2248.9245467535452</c:v>
                </c:pt>
                <c:pt idx="32">
                  <c:v>2154.4948859932028</c:v>
                </c:pt>
                <c:pt idx="33">
                  <c:v>2060.5206072005781</c:v>
                </c:pt>
                <c:pt idx="34">
                  <c:v>1967.208702179179</c:v>
                </c:pt>
                <c:pt idx="35">
                  <c:v>1874.7661627325133</c:v>
                </c:pt>
                <c:pt idx="36">
                  <c:v>1783.3585823033875</c:v>
                </c:pt>
                <c:pt idx="37">
                  <c:v>1693.2343510560113</c:v>
                </c:pt>
                <c:pt idx="38">
                  <c:v>1604.5176640724892</c:v>
                </c:pt>
                <c:pt idx="39">
                  <c:v>1517.4155131563293</c:v>
                </c:pt>
                <c:pt idx="40">
                  <c:v>1432.1348901110402</c:v>
                </c:pt>
                <c:pt idx="41">
                  <c:v>1348.7585916580242</c:v>
                </c:pt>
                <c:pt idx="42">
                  <c:v>1267.4936096007896</c:v>
                </c:pt>
                <c:pt idx="43">
                  <c:v>1188.4227406607397</c:v>
                </c:pt>
                <c:pt idx="44">
                  <c:v>1111.7115782806807</c:v>
                </c:pt>
                <c:pt idx="45">
                  <c:v>1037.4429191820161</c:v>
                </c:pt>
                <c:pt idx="46">
                  <c:v>965.74095844685053</c:v>
                </c:pt>
                <c:pt idx="47">
                  <c:v>899.25519116008593</c:v>
                </c:pt>
                <c:pt idx="48">
                  <c:v>833.72158616945819</c:v>
                </c:pt>
                <c:pt idx="49">
                  <c:v>771.74824019916775</c:v>
                </c:pt>
                <c:pt idx="50">
                  <c:v>713.25235652781146</c:v>
                </c:pt>
                <c:pt idx="51">
                  <c:v>658.15113843398603</c:v>
                </c:pt>
                <c:pt idx="52">
                  <c:v>606.32039083558698</c:v>
                </c:pt>
                <c:pt idx="53">
                  <c:v>557.71871537191225</c:v>
                </c:pt>
                <c:pt idx="54">
                  <c:v>512.22191696085736</c:v>
                </c:pt>
                <c:pt idx="55">
                  <c:v>469.6644021596158</c:v>
                </c:pt>
                <c:pt idx="56">
                  <c:v>429.9633742467845</c:v>
                </c:pt>
                <c:pt idx="57">
                  <c:v>392.99463814025859</c:v>
                </c:pt>
                <c:pt idx="58">
                  <c:v>358.67539711863481</c:v>
                </c:pt>
                <c:pt idx="59">
                  <c:v>326.79865937840526</c:v>
                </c:pt>
                <c:pt idx="60">
                  <c:v>297.32302655886826</c:v>
                </c:pt>
                <c:pt idx="61">
                  <c:v>270.04150685651598</c:v>
                </c:pt>
                <c:pt idx="62">
                  <c:v>244.91270191064675</c:v>
                </c:pt>
                <c:pt idx="63">
                  <c:v>223.2613592637116</c:v>
                </c:pt>
                <c:pt idx="64">
                  <c:v>201.85840678098603</c:v>
                </c:pt>
                <c:pt idx="65">
                  <c:v>182.31838052983235</c:v>
                </c:pt>
                <c:pt idx="66">
                  <c:v>164.43428870674254</c:v>
                </c:pt>
                <c:pt idx="67">
                  <c:v>148.12333459031339</c:v>
                </c:pt>
                <c:pt idx="68">
                  <c:v>133.26132309844013</c:v>
                </c:pt>
                <c:pt idx="69">
                  <c:v>119.72405914901799</c:v>
                </c:pt>
                <c:pt idx="70">
                  <c:v>107.47014438134532</c:v>
                </c:pt>
                <c:pt idx="71">
                  <c:v>96.333985352615784</c:v>
                </c:pt>
                <c:pt idx="72">
                  <c:v>86.232785341426151</c:v>
                </c:pt>
                <c:pt idx="73">
                  <c:v>77.125145987074859</c:v>
                </c:pt>
                <c:pt idx="74">
                  <c:v>68.886872207457102</c:v>
                </c:pt>
                <c:pt idx="75">
                  <c:v>61.476565641871261</c:v>
                </c:pt>
                <c:pt idx="76">
                  <c:v>54.811429568914178</c:v>
                </c:pt>
                <c:pt idx="77">
                  <c:v>48.767268906481043</c:v>
                </c:pt>
                <c:pt idx="78">
                  <c:v>43.38548201527346</c:v>
                </c:pt>
                <c:pt idx="79">
                  <c:v>38.541873813186633</c:v>
                </c:pt>
                <c:pt idx="80">
                  <c:v>34.691826267938133</c:v>
                </c:pt>
                <c:pt idx="81">
                  <c:v>30.758982001286434</c:v>
                </c:pt>
                <c:pt idx="82">
                  <c:v>27.281519702352298</c:v>
                </c:pt>
                <c:pt idx="83">
                  <c:v>24.176642649732539</c:v>
                </c:pt>
                <c:pt idx="84">
                  <c:v>21.444350843427149</c:v>
                </c:pt>
                <c:pt idx="85">
                  <c:v>19.001847562032935</c:v>
                </c:pt>
                <c:pt idx="86">
                  <c:v>16.807734444848307</c:v>
                </c:pt>
                <c:pt idx="87">
                  <c:v>14.903409852574852</c:v>
                </c:pt>
                <c:pt idx="88">
                  <c:v>13.206077063809385</c:v>
                </c:pt>
                <c:pt idx="89">
                  <c:v>11.674337717850301</c:v>
                </c:pt>
                <c:pt idx="90">
                  <c:v>10.349590175399204</c:v>
                </c:pt>
                <c:pt idx="91">
                  <c:v>9.1490377150528968</c:v>
                </c:pt>
                <c:pt idx="92">
                  <c:v>8.0726803368113789</c:v>
                </c:pt>
                <c:pt idx="93">
                  <c:v>7.1619164013762484</c:v>
                </c:pt>
                <c:pt idx="94">
                  <c:v>6.333949187344313</c:v>
                </c:pt>
                <c:pt idx="95">
                  <c:v>5.58877869471557</c:v>
                </c:pt>
                <c:pt idx="96">
                  <c:v>4.9678032841916169</c:v>
                </c:pt>
                <c:pt idx="97">
                  <c:v>4.4710229557724563</c:v>
                </c:pt>
                <c:pt idx="98">
                  <c:v>3.974242627353294</c:v>
                </c:pt>
                <c:pt idx="99">
                  <c:v>3.5188606596357288</c:v>
                </c:pt>
                <c:pt idx="100">
                  <c:v>3.1048770526197611</c:v>
                </c:pt>
                <c:pt idx="101">
                  <c:v>2.7322918063053896</c:v>
                </c:pt>
                <c:pt idx="102">
                  <c:v>2.4011049206926152</c:v>
                </c:pt>
                <c:pt idx="103">
                  <c:v>2.1113163957814374</c:v>
                </c:pt>
                <c:pt idx="104">
                  <c:v>1.8629262315718564</c:v>
                </c:pt>
                <c:pt idx="105">
                  <c:v>1.6145360673622757</c:v>
                </c:pt>
                <c:pt idx="106">
                  <c:v>1.4075442638542917</c:v>
                </c:pt>
                <c:pt idx="107">
                  <c:v>1.2419508210479042</c:v>
                </c:pt>
                <c:pt idx="108">
                  <c:v>1.0763573782415172</c:v>
                </c:pt>
                <c:pt idx="109">
                  <c:v>0.91076393543512979</c:v>
                </c:pt>
                <c:pt idx="110">
                  <c:v>0.78656885333033943</c:v>
                </c:pt>
                <c:pt idx="111">
                  <c:v>0.70377213192714583</c:v>
                </c:pt>
                <c:pt idx="112">
                  <c:v>0.57957704982235536</c:v>
                </c:pt>
                <c:pt idx="113">
                  <c:v>0.49678032841916175</c:v>
                </c:pt>
                <c:pt idx="114">
                  <c:v>0.41398360701596815</c:v>
                </c:pt>
                <c:pt idx="115">
                  <c:v>0.37258524631437134</c:v>
                </c:pt>
                <c:pt idx="116">
                  <c:v>0.28978852491117768</c:v>
                </c:pt>
                <c:pt idx="117">
                  <c:v>0.24839016420958088</c:v>
                </c:pt>
                <c:pt idx="118">
                  <c:v>0.20699180350798407</c:v>
                </c:pt>
                <c:pt idx="119">
                  <c:v>0.16559344280638724</c:v>
                </c:pt>
                <c:pt idx="120">
                  <c:v>0.16559344280638724</c:v>
                </c:pt>
                <c:pt idx="121">
                  <c:v>0.12419508210479044</c:v>
                </c:pt>
                <c:pt idx="122">
                  <c:v>8.2796721403193621E-2</c:v>
                </c:pt>
                <c:pt idx="123">
                  <c:v>8.2796721403193621E-2</c:v>
                </c:pt>
                <c:pt idx="124">
                  <c:v>8.2796721403193621E-2</c:v>
                </c:pt>
                <c:pt idx="125">
                  <c:v>4.1398360701596811E-2</c:v>
                </c:pt>
                <c:pt idx="126">
                  <c:v>4.1398360701596811E-2</c:v>
                </c:pt>
                <c:pt idx="127">
                  <c:v>4.1398360701596811E-2</c:v>
                </c:pt>
                <c:pt idx="128">
                  <c:v>4.1398360701596811E-2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26880"/>
        <c:axId val="366517840"/>
      </c:scatterChart>
      <c:valAx>
        <c:axId val="36532688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 cap="none" baseline="0">
                    <a:solidFill>
                      <a:sysClr val="windowText" lastClr="000000"/>
                    </a:solidFill>
                  </a:rPr>
                  <a:t>Altitude (km</a:t>
                </a:r>
                <a:r>
                  <a:rPr lang="pt-BR" sz="2400" b="1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517840"/>
        <c:crossesAt val="1.0000000000000002E-2"/>
        <c:crossBetween val="midCat"/>
      </c:valAx>
      <c:valAx>
        <c:axId val="366517840"/>
        <c:scaling>
          <c:logBase val="10"/>
          <c:orientation val="minMax"/>
          <c:max val="1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 cap="none" baseline="0">
                    <a:solidFill>
                      <a:sysClr val="windowText" lastClr="000000"/>
                    </a:solidFill>
                  </a:rPr>
                  <a:t>Pressure (bar)</a:t>
                </a:r>
              </a:p>
            </c:rich>
          </c:tx>
          <c:layout>
            <c:manualLayout>
              <c:xMode val="edge"/>
              <c:yMode val="edge"/>
              <c:x val="3.0228572924698771E-2"/>
              <c:y val="0.26839834231247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326880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329245870063915"/>
          <c:y val="0.47618383754662247"/>
          <c:w val="0.14270556386844185"/>
          <c:h val="0.3733526730211355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38056107170381"/>
          <c:y val="8.509490261085785E-2"/>
          <c:w val="0.81658034637742993"/>
          <c:h val="0.76867003729796934"/>
        </c:manualLayout>
      </c:layout>
      <c:scatterChart>
        <c:scatterStyle val="smoothMarker"/>
        <c:varyColors val="0"/>
        <c:ser>
          <c:idx val="5"/>
          <c:order val="0"/>
          <c:tx>
            <c:v>Flight Path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noFill/>
              <a:ln w="19050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FlightPath!$B$4:$B$11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  <c:pt idx="4">
                  <c:v>28</c:v>
                </c:pt>
                <c:pt idx="5">
                  <c:v>28</c:v>
                </c:pt>
                <c:pt idx="6">
                  <c:v>35</c:v>
                </c:pt>
                <c:pt idx="7">
                  <c:v>64.400000000000006</c:v>
                </c:pt>
              </c:numCache>
            </c:numRef>
          </c:xVal>
          <c:yVal>
            <c:numRef>
              <c:f>FlightPath!$E$4:$E$11</c:f>
              <c:numCache>
                <c:formatCode>0.00</c:formatCode>
                <c:ptCount val="8"/>
                <c:pt idx="0">
                  <c:v>288.14999999999998</c:v>
                </c:pt>
                <c:pt idx="1">
                  <c:v>255.90999999999997</c:v>
                </c:pt>
                <c:pt idx="2">
                  <c:v>216.64999999999998</c:v>
                </c:pt>
                <c:pt idx="3">
                  <c:v>216.74999999999997</c:v>
                </c:pt>
                <c:pt idx="4">
                  <c:v>224.33999999999997</c:v>
                </c:pt>
                <c:pt idx="5">
                  <c:v>224.33999999999997</c:v>
                </c:pt>
                <c:pt idx="6">
                  <c:v>236.2</c:v>
                </c:pt>
                <c:pt idx="7">
                  <c:v>241.36999999999998</c:v>
                </c:pt>
              </c:numCache>
            </c:numRef>
          </c:yVal>
          <c:smooth val="1"/>
        </c:ser>
        <c:ser>
          <c:idx val="6"/>
          <c:order val="1"/>
          <c:tx>
            <c:v>Recovery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triangle"/>
            <c:size val="12"/>
            <c:spPr>
              <a:noFill/>
              <a:ln w="12700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FlightPath!$B$4:$B$10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  <c:pt idx="4">
                  <c:v>28</c:v>
                </c:pt>
                <c:pt idx="5">
                  <c:v>28</c:v>
                </c:pt>
                <c:pt idx="6">
                  <c:v>35</c:v>
                </c:pt>
              </c:numCache>
            </c:numRef>
          </c:xVal>
          <c:yVal>
            <c:numRef>
              <c:f>FlightPath!$G$4:$G$10</c:f>
              <c:numCache>
                <c:formatCode>0.00</c:formatCode>
                <c:ptCount val="7"/>
                <c:pt idx="0">
                  <c:v>286</c:v>
                </c:pt>
                <c:pt idx="1">
                  <c:v>300</c:v>
                </c:pt>
                <c:pt idx="2">
                  <c:v>306</c:v>
                </c:pt>
                <c:pt idx="3">
                  <c:v>320</c:v>
                </c:pt>
                <c:pt idx="4">
                  <c:v>500</c:v>
                </c:pt>
                <c:pt idx="5">
                  <c:v>750</c:v>
                </c:pt>
                <c:pt idx="6">
                  <c:v>1800</c:v>
                </c:pt>
              </c:numCache>
            </c:numRef>
          </c:yVal>
          <c:smooth val="0"/>
        </c:ser>
        <c:ser>
          <c:idx val="0"/>
          <c:order val="2"/>
          <c:tx>
            <c:v>0,4M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Recovery!$H$7:$H$146</c:f>
              <c:numCache>
                <c:formatCode>0.00</c:formatCode>
                <c:ptCount val="140"/>
                <c:pt idx="0">
                  <c:v>297.37079999999997</c:v>
                </c:pt>
                <c:pt idx="1">
                  <c:v>297.29856000000001</c:v>
                </c:pt>
                <c:pt idx="2">
                  <c:v>297.1644</c:v>
                </c:pt>
                <c:pt idx="3">
                  <c:v>296.96832000000001</c:v>
                </c:pt>
                <c:pt idx="4">
                  <c:v>296.7</c:v>
                </c:pt>
                <c:pt idx="5">
                  <c:v>296.35943999999995</c:v>
                </c:pt>
                <c:pt idx="6">
                  <c:v>295.95695999999998</c:v>
                </c:pt>
                <c:pt idx="7">
                  <c:v>295.49255999999997</c:v>
                </c:pt>
                <c:pt idx="8">
                  <c:v>294.95591999999999</c:v>
                </c:pt>
                <c:pt idx="9">
                  <c:v>294.34703999999999</c:v>
                </c:pt>
                <c:pt idx="10">
                  <c:v>293.67624000000001</c:v>
                </c:pt>
                <c:pt idx="11">
                  <c:v>292.94351999999998</c:v>
                </c:pt>
                <c:pt idx="12">
                  <c:v>292.13855999999998</c:v>
                </c:pt>
                <c:pt idx="13">
                  <c:v>291.26135999999997</c:v>
                </c:pt>
                <c:pt idx="14">
                  <c:v>290.32224000000002</c:v>
                </c:pt>
                <c:pt idx="15">
                  <c:v>289.32119999999998</c:v>
                </c:pt>
                <c:pt idx="16">
                  <c:v>288.24792000000002</c:v>
                </c:pt>
                <c:pt idx="17">
                  <c:v>287.10239999999999</c:v>
                </c:pt>
                <c:pt idx="18">
                  <c:v>285.89495999999997</c:v>
                </c:pt>
                <c:pt idx="19">
                  <c:v>284.62559999999996</c:v>
                </c:pt>
                <c:pt idx="20">
                  <c:v>283.28399999999999</c:v>
                </c:pt>
                <c:pt idx="21">
                  <c:v>281.87016</c:v>
                </c:pt>
                <c:pt idx="22">
                  <c:v>280.39440000000002</c:v>
                </c:pt>
                <c:pt idx="23">
                  <c:v>278.85672</c:v>
                </c:pt>
                <c:pt idx="24">
                  <c:v>277.24680000000001</c:v>
                </c:pt>
                <c:pt idx="25">
                  <c:v>275.56464</c:v>
                </c:pt>
                <c:pt idx="26">
                  <c:v>273.82056</c:v>
                </c:pt>
                <c:pt idx="27">
                  <c:v>272.01456000000002</c:v>
                </c:pt>
                <c:pt idx="28">
                  <c:v>270.13632000000001</c:v>
                </c:pt>
                <c:pt idx="29">
                  <c:v>268.18583999999998</c:v>
                </c:pt>
                <c:pt idx="30">
                  <c:v>266.17343999999997</c:v>
                </c:pt>
                <c:pt idx="31">
                  <c:v>264.09911999999997</c:v>
                </c:pt>
                <c:pt idx="32">
                  <c:v>261.95256000000001</c:v>
                </c:pt>
                <c:pt idx="33">
                  <c:v>259.73375999999996</c:v>
                </c:pt>
                <c:pt idx="34">
                  <c:v>257.45303999999999</c:v>
                </c:pt>
                <c:pt idx="35">
                  <c:v>255.1104</c:v>
                </c:pt>
                <c:pt idx="36">
                  <c:v>252.69551999999999</c:v>
                </c:pt>
                <c:pt idx="37">
                  <c:v>250.20839999999998</c:v>
                </c:pt>
                <c:pt idx="38">
                  <c:v>247.65935999999996</c:v>
                </c:pt>
                <c:pt idx="39">
                  <c:v>245.04839999999999</c:v>
                </c:pt>
                <c:pt idx="40">
                  <c:v>242.36519999999996</c:v>
                </c:pt>
                <c:pt idx="41">
                  <c:v>239.60975999999999</c:v>
                </c:pt>
                <c:pt idx="42">
                  <c:v>236.79239999999999</c:v>
                </c:pt>
                <c:pt idx="43">
                  <c:v>233.91311999999996</c:v>
                </c:pt>
                <c:pt idx="44">
                  <c:v>230.96159999999998</c:v>
                </c:pt>
                <c:pt idx="45">
                  <c:v>227.93783999999999</c:v>
                </c:pt>
                <c:pt idx="46">
                  <c:v>224.85215999999997</c:v>
                </c:pt>
                <c:pt idx="47">
                  <c:v>223.58279999999999</c:v>
                </c:pt>
                <c:pt idx="48">
                  <c:v>223.58279999999999</c:v>
                </c:pt>
                <c:pt idx="49">
                  <c:v>223.58279999999999</c:v>
                </c:pt>
                <c:pt idx="50">
                  <c:v>223.58279999999999</c:v>
                </c:pt>
                <c:pt idx="51">
                  <c:v>223.58279999999999</c:v>
                </c:pt>
                <c:pt idx="52">
                  <c:v>223.58279999999999</c:v>
                </c:pt>
                <c:pt idx="53">
                  <c:v>223.58279999999999</c:v>
                </c:pt>
                <c:pt idx="54">
                  <c:v>223.58279999999999</c:v>
                </c:pt>
                <c:pt idx="55">
                  <c:v>223.58279999999999</c:v>
                </c:pt>
                <c:pt idx="56">
                  <c:v>223.58279999999999</c:v>
                </c:pt>
                <c:pt idx="57">
                  <c:v>223.58279999999999</c:v>
                </c:pt>
                <c:pt idx="58">
                  <c:v>223.58279999999999</c:v>
                </c:pt>
                <c:pt idx="59">
                  <c:v>223.58279999999999</c:v>
                </c:pt>
                <c:pt idx="60">
                  <c:v>223.58279999999999</c:v>
                </c:pt>
                <c:pt idx="61">
                  <c:v>223.58279999999999</c:v>
                </c:pt>
                <c:pt idx="62">
                  <c:v>223.58279999999999</c:v>
                </c:pt>
                <c:pt idx="63">
                  <c:v>223.68599999999998</c:v>
                </c:pt>
                <c:pt idx="64">
                  <c:v>224.34647999999999</c:v>
                </c:pt>
                <c:pt idx="65">
                  <c:v>225.01727999999997</c:v>
                </c:pt>
                <c:pt idx="66">
                  <c:v>225.69839999999999</c:v>
                </c:pt>
                <c:pt idx="67">
                  <c:v>226.38983999999999</c:v>
                </c:pt>
                <c:pt idx="68">
                  <c:v>227.0916</c:v>
                </c:pt>
                <c:pt idx="69">
                  <c:v>227.80367999999999</c:v>
                </c:pt>
                <c:pt idx="70">
                  <c:v>228.52607999999998</c:v>
                </c:pt>
                <c:pt idx="71">
                  <c:v>229.25879999999998</c:v>
                </c:pt>
                <c:pt idx="72">
                  <c:v>230.00183999999999</c:v>
                </c:pt>
                <c:pt idx="73">
                  <c:v>230.75519999999997</c:v>
                </c:pt>
                <c:pt idx="74">
                  <c:v>231.51887999999997</c:v>
                </c:pt>
                <c:pt idx="75">
                  <c:v>232.29287999999997</c:v>
                </c:pt>
                <c:pt idx="76">
                  <c:v>233.07719999999998</c:v>
                </c:pt>
                <c:pt idx="77">
                  <c:v>233.87183999999999</c:v>
                </c:pt>
                <c:pt idx="78">
                  <c:v>234.67679999999999</c:v>
                </c:pt>
                <c:pt idx="79">
                  <c:v>235.49207999999999</c:v>
                </c:pt>
                <c:pt idx="80">
                  <c:v>236.65824000000001</c:v>
                </c:pt>
                <c:pt idx="81">
                  <c:v>238.99055999999999</c:v>
                </c:pt>
                <c:pt idx="82">
                  <c:v>241.36415999999997</c:v>
                </c:pt>
                <c:pt idx="83">
                  <c:v>243.75839999999999</c:v>
                </c:pt>
                <c:pt idx="84">
                  <c:v>246.19391999999999</c:v>
                </c:pt>
                <c:pt idx="85">
                  <c:v>248.65007999999997</c:v>
                </c:pt>
                <c:pt idx="86">
                  <c:v>251.12687999999997</c:v>
                </c:pt>
                <c:pt idx="87">
                  <c:v>253.64495999999997</c:v>
                </c:pt>
                <c:pt idx="88">
                  <c:v>256.18367999999998</c:v>
                </c:pt>
                <c:pt idx="89">
                  <c:v>258.76367999999997</c:v>
                </c:pt>
                <c:pt idx="90">
                  <c:v>261.36432000000002</c:v>
                </c:pt>
                <c:pt idx="91">
                  <c:v>263.98559999999998</c:v>
                </c:pt>
                <c:pt idx="92">
                  <c:v>266.64816000000002</c:v>
                </c:pt>
                <c:pt idx="93">
                  <c:v>269.33135999999996</c:v>
                </c:pt>
                <c:pt idx="94">
                  <c:v>272.05583999999999</c:v>
                </c:pt>
                <c:pt idx="95">
                  <c:v>274.80095999999998</c:v>
                </c:pt>
                <c:pt idx="96">
                  <c:v>277.56671999999998</c:v>
                </c:pt>
                <c:pt idx="97">
                  <c:v>279.31079999999997</c:v>
                </c:pt>
                <c:pt idx="98">
                  <c:v>279.31079999999997</c:v>
                </c:pt>
                <c:pt idx="99">
                  <c:v>279.31079999999997</c:v>
                </c:pt>
                <c:pt idx="100">
                  <c:v>279.31079999999997</c:v>
                </c:pt>
                <c:pt idx="101">
                  <c:v>279.31079999999997</c:v>
                </c:pt>
                <c:pt idx="102">
                  <c:v>279.1044</c:v>
                </c:pt>
                <c:pt idx="103">
                  <c:v>276.97847999999999</c:v>
                </c:pt>
                <c:pt idx="104">
                  <c:v>274.83192000000003</c:v>
                </c:pt>
                <c:pt idx="105">
                  <c:v>272.66471999999999</c:v>
                </c:pt>
                <c:pt idx="106">
                  <c:v>270.47687999999999</c:v>
                </c:pt>
                <c:pt idx="107">
                  <c:v>268.26839999999999</c:v>
                </c:pt>
                <c:pt idx="108">
                  <c:v>266.03927999999996</c:v>
                </c:pt>
                <c:pt idx="109">
                  <c:v>263.78951999999998</c:v>
                </c:pt>
                <c:pt idx="110">
                  <c:v>261.51911999999999</c:v>
                </c:pt>
                <c:pt idx="111">
                  <c:v>258.38183999999995</c:v>
                </c:pt>
                <c:pt idx="112">
                  <c:v>253.75847999999999</c:v>
                </c:pt>
                <c:pt idx="113">
                  <c:v>249.09383999999997</c:v>
                </c:pt>
                <c:pt idx="114">
                  <c:v>244.38791999999998</c:v>
                </c:pt>
                <c:pt idx="115">
                  <c:v>239.64071999999999</c:v>
                </c:pt>
                <c:pt idx="116">
                  <c:v>234.85223999999999</c:v>
                </c:pt>
                <c:pt idx="117">
                  <c:v>230.02248</c:v>
                </c:pt>
                <c:pt idx="118">
                  <c:v>225.15143999999998</c:v>
                </c:pt>
                <c:pt idx="119">
                  <c:v>220.23911999999999</c:v>
                </c:pt>
                <c:pt idx="120">
                  <c:v>215.28551999999996</c:v>
                </c:pt>
                <c:pt idx="121">
                  <c:v>210.29064</c:v>
                </c:pt>
                <c:pt idx="122">
                  <c:v>205.25448</c:v>
                </c:pt>
                <c:pt idx="123">
                  <c:v>200.17703999999998</c:v>
                </c:pt>
                <c:pt idx="124">
                  <c:v>195.05832000000001</c:v>
                </c:pt>
                <c:pt idx="125">
                  <c:v>189.89831999999998</c:v>
                </c:pt>
                <c:pt idx="126">
                  <c:v>186.43079999999998</c:v>
                </c:pt>
                <c:pt idx="127">
                  <c:v>186.43079999999998</c:v>
                </c:pt>
                <c:pt idx="128">
                  <c:v>186.43079999999998</c:v>
                </c:pt>
                <c:pt idx="129">
                  <c:v>186.43079999999998</c:v>
                </c:pt>
                <c:pt idx="130">
                  <c:v>186.43079999999998</c:v>
                </c:pt>
                <c:pt idx="131">
                  <c:v>186.43079999999998</c:v>
                </c:pt>
                <c:pt idx="132">
                  <c:v>186.43079999999998</c:v>
                </c:pt>
                <c:pt idx="133">
                  <c:v>186.43079999999998</c:v>
                </c:pt>
                <c:pt idx="134">
                  <c:v>187.82399999999998</c:v>
                </c:pt>
                <c:pt idx="135">
                  <c:v>192.00359999999998</c:v>
                </c:pt>
                <c:pt idx="136">
                  <c:v>196.21415999999999</c:v>
                </c:pt>
                <c:pt idx="137">
                  <c:v>200.45567999999997</c:v>
                </c:pt>
                <c:pt idx="138">
                  <c:v>204.72816</c:v>
                </c:pt>
                <c:pt idx="139">
                  <c:v>209.0316</c:v>
                </c:pt>
              </c:numCache>
            </c:numRef>
          </c:yVal>
          <c:smooth val="1"/>
        </c:ser>
        <c:ser>
          <c:idx val="4"/>
          <c:order val="3"/>
          <c:tx>
            <c:v>0,8M</c:v>
          </c:tx>
          <c:spPr>
            <a:ln w="254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Recovery!$J$7:$J$146</c:f>
              <c:numCache>
                <c:formatCode>0.00</c:formatCode>
                <c:ptCount val="140"/>
                <c:pt idx="0">
                  <c:v>325.03319999999997</c:v>
                </c:pt>
                <c:pt idx="1">
                  <c:v>324.95423999999997</c:v>
                </c:pt>
                <c:pt idx="2">
                  <c:v>324.80759999999998</c:v>
                </c:pt>
                <c:pt idx="3">
                  <c:v>324.59327999999994</c:v>
                </c:pt>
                <c:pt idx="4">
                  <c:v>324.29999999999995</c:v>
                </c:pt>
                <c:pt idx="5">
                  <c:v>323.92775999999992</c:v>
                </c:pt>
                <c:pt idx="6">
                  <c:v>323.48783999999995</c:v>
                </c:pt>
                <c:pt idx="7">
                  <c:v>322.98023999999992</c:v>
                </c:pt>
                <c:pt idx="8">
                  <c:v>322.39367999999996</c:v>
                </c:pt>
                <c:pt idx="9">
                  <c:v>321.72815999999995</c:v>
                </c:pt>
                <c:pt idx="10">
                  <c:v>320.99495999999994</c:v>
                </c:pt>
                <c:pt idx="11">
                  <c:v>320.19407999999993</c:v>
                </c:pt>
                <c:pt idx="12">
                  <c:v>319.31423999999993</c:v>
                </c:pt>
                <c:pt idx="13">
                  <c:v>318.35543999999993</c:v>
                </c:pt>
                <c:pt idx="14">
                  <c:v>317.32895999999994</c:v>
                </c:pt>
                <c:pt idx="15">
                  <c:v>316.23479999999995</c:v>
                </c:pt>
                <c:pt idx="16">
                  <c:v>315.06167999999997</c:v>
                </c:pt>
                <c:pt idx="17">
                  <c:v>313.80959999999993</c:v>
                </c:pt>
                <c:pt idx="18">
                  <c:v>312.48983999999996</c:v>
                </c:pt>
                <c:pt idx="19">
                  <c:v>311.10239999999993</c:v>
                </c:pt>
                <c:pt idx="20">
                  <c:v>309.63599999999997</c:v>
                </c:pt>
                <c:pt idx="21">
                  <c:v>308.09063999999995</c:v>
                </c:pt>
                <c:pt idx="22">
                  <c:v>306.47759999999994</c:v>
                </c:pt>
                <c:pt idx="23">
                  <c:v>304.79687999999993</c:v>
                </c:pt>
                <c:pt idx="24">
                  <c:v>303.03719999999993</c:v>
                </c:pt>
                <c:pt idx="25">
                  <c:v>301.19855999999993</c:v>
                </c:pt>
                <c:pt idx="26">
                  <c:v>299.29223999999994</c:v>
                </c:pt>
                <c:pt idx="27">
                  <c:v>297.31823999999995</c:v>
                </c:pt>
                <c:pt idx="28">
                  <c:v>295.26527999999996</c:v>
                </c:pt>
                <c:pt idx="29">
                  <c:v>293.13335999999998</c:v>
                </c:pt>
                <c:pt idx="30">
                  <c:v>290.93375999999995</c:v>
                </c:pt>
                <c:pt idx="31">
                  <c:v>288.66647999999992</c:v>
                </c:pt>
                <c:pt idx="32">
                  <c:v>286.32023999999996</c:v>
                </c:pt>
                <c:pt idx="33">
                  <c:v>283.89503999999994</c:v>
                </c:pt>
                <c:pt idx="34">
                  <c:v>281.40215999999992</c:v>
                </c:pt>
                <c:pt idx="35">
                  <c:v>278.84159999999997</c:v>
                </c:pt>
                <c:pt idx="36">
                  <c:v>276.20207999999997</c:v>
                </c:pt>
                <c:pt idx="37">
                  <c:v>273.48359999999997</c:v>
                </c:pt>
                <c:pt idx="38">
                  <c:v>270.69743999999992</c:v>
                </c:pt>
                <c:pt idx="39">
                  <c:v>267.84359999999998</c:v>
                </c:pt>
                <c:pt idx="40">
                  <c:v>264.91079999999994</c:v>
                </c:pt>
                <c:pt idx="41">
                  <c:v>261.89903999999996</c:v>
                </c:pt>
                <c:pt idx="42">
                  <c:v>258.81959999999998</c:v>
                </c:pt>
                <c:pt idx="43">
                  <c:v>255.67247999999995</c:v>
                </c:pt>
                <c:pt idx="44">
                  <c:v>252.44639999999995</c:v>
                </c:pt>
                <c:pt idx="45">
                  <c:v>249.14135999999996</c:v>
                </c:pt>
                <c:pt idx="46">
                  <c:v>245.76863999999995</c:v>
                </c:pt>
                <c:pt idx="47">
                  <c:v>244.38119999999995</c:v>
                </c:pt>
                <c:pt idx="48">
                  <c:v>244.38119999999995</c:v>
                </c:pt>
                <c:pt idx="49">
                  <c:v>244.38119999999995</c:v>
                </c:pt>
                <c:pt idx="50">
                  <c:v>244.38119999999995</c:v>
                </c:pt>
                <c:pt idx="51">
                  <c:v>244.38119999999995</c:v>
                </c:pt>
                <c:pt idx="52">
                  <c:v>244.38119999999995</c:v>
                </c:pt>
                <c:pt idx="53">
                  <c:v>244.38119999999995</c:v>
                </c:pt>
                <c:pt idx="54">
                  <c:v>244.38119999999995</c:v>
                </c:pt>
                <c:pt idx="55">
                  <c:v>244.38119999999995</c:v>
                </c:pt>
                <c:pt idx="56">
                  <c:v>244.38119999999995</c:v>
                </c:pt>
                <c:pt idx="57">
                  <c:v>244.38119999999995</c:v>
                </c:pt>
                <c:pt idx="58">
                  <c:v>244.38119999999995</c:v>
                </c:pt>
                <c:pt idx="59">
                  <c:v>244.38119999999995</c:v>
                </c:pt>
                <c:pt idx="60">
                  <c:v>244.38119999999995</c:v>
                </c:pt>
                <c:pt idx="61">
                  <c:v>244.38119999999995</c:v>
                </c:pt>
                <c:pt idx="62">
                  <c:v>244.38119999999995</c:v>
                </c:pt>
                <c:pt idx="63">
                  <c:v>244.49399999999994</c:v>
                </c:pt>
                <c:pt idx="64">
                  <c:v>245.21591999999995</c:v>
                </c:pt>
                <c:pt idx="65">
                  <c:v>245.94911999999994</c:v>
                </c:pt>
                <c:pt idx="66">
                  <c:v>246.69359999999998</c:v>
                </c:pt>
                <c:pt idx="67">
                  <c:v>247.44935999999996</c:v>
                </c:pt>
                <c:pt idx="68">
                  <c:v>248.21639999999996</c:v>
                </c:pt>
                <c:pt idx="69">
                  <c:v>248.99471999999994</c:v>
                </c:pt>
                <c:pt idx="70">
                  <c:v>249.78431999999995</c:v>
                </c:pt>
                <c:pt idx="71">
                  <c:v>250.58519999999996</c:v>
                </c:pt>
                <c:pt idx="72">
                  <c:v>251.39735999999994</c:v>
                </c:pt>
                <c:pt idx="73">
                  <c:v>252.22079999999994</c:v>
                </c:pt>
                <c:pt idx="74">
                  <c:v>253.05551999999994</c:v>
                </c:pt>
                <c:pt idx="75">
                  <c:v>253.90151999999995</c:v>
                </c:pt>
                <c:pt idx="76">
                  <c:v>254.75879999999995</c:v>
                </c:pt>
                <c:pt idx="77">
                  <c:v>255.62735999999995</c:v>
                </c:pt>
                <c:pt idx="78">
                  <c:v>256.50719999999995</c:v>
                </c:pt>
                <c:pt idx="79">
                  <c:v>257.39831999999996</c:v>
                </c:pt>
                <c:pt idx="80">
                  <c:v>258.67295999999999</c:v>
                </c:pt>
                <c:pt idx="81">
                  <c:v>261.22223999999994</c:v>
                </c:pt>
                <c:pt idx="82">
                  <c:v>263.81663999999995</c:v>
                </c:pt>
                <c:pt idx="83">
                  <c:v>266.43359999999996</c:v>
                </c:pt>
                <c:pt idx="84">
                  <c:v>269.09567999999996</c:v>
                </c:pt>
                <c:pt idx="85">
                  <c:v>271.78031999999996</c:v>
                </c:pt>
                <c:pt idx="86">
                  <c:v>274.48751999999996</c:v>
                </c:pt>
                <c:pt idx="87">
                  <c:v>277.23983999999996</c:v>
                </c:pt>
                <c:pt idx="88">
                  <c:v>280.01471999999995</c:v>
                </c:pt>
                <c:pt idx="89">
                  <c:v>282.83471999999995</c:v>
                </c:pt>
                <c:pt idx="90">
                  <c:v>285.67727999999994</c:v>
                </c:pt>
                <c:pt idx="91">
                  <c:v>288.54239999999993</c:v>
                </c:pt>
                <c:pt idx="92">
                  <c:v>291.45263999999997</c:v>
                </c:pt>
                <c:pt idx="93">
                  <c:v>294.3854399999999</c:v>
                </c:pt>
                <c:pt idx="94">
                  <c:v>297.36336</c:v>
                </c:pt>
                <c:pt idx="95">
                  <c:v>300.36383999999993</c:v>
                </c:pt>
                <c:pt idx="96">
                  <c:v>303.38687999999996</c:v>
                </c:pt>
                <c:pt idx="97">
                  <c:v>305.29319999999996</c:v>
                </c:pt>
                <c:pt idx="98">
                  <c:v>305.29319999999996</c:v>
                </c:pt>
                <c:pt idx="99">
                  <c:v>305.29319999999996</c:v>
                </c:pt>
                <c:pt idx="100">
                  <c:v>305.29319999999996</c:v>
                </c:pt>
                <c:pt idx="101">
                  <c:v>305.29319999999996</c:v>
                </c:pt>
                <c:pt idx="102">
                  <c:v>305.06759999999997</c:v>
                </c:pt>
                <c:pt idx="103">
                  <c:v>302.74391999999995</c:v>
                </c:pt>
                <c:pt idx="104">
                  <c:v>300.39767999999998</c:v>
                </c:pt>
                <c:pt idx="105">
                  <c:v>298.02887999999996</c:v>
                </c:pt>
                <c:pt idx="106">
                  <c:v>295.63751999999994</c:v>
                </c:pt>
                <c:pt idx="107">
                  <c:v>293.22359999999998</c:v>
                </c:pt>
                <c:pt idx="108">
                  <c:v>290.78711999999996</c:v>
                </c:pt>
                <c:pt idx="109">
                  <c:v>288.32807999999994</c:v>
                </c:pt>
                <c:pt idx="110">
                  <c:v>285.84647999999993</c:v>
                </c:pt>
                <c:pt idx="111">
                  <c:v>282.41735999999997</c:v>
                </c:pt>
                <c:pt idx="112">
                  <c:v>277.36391999999995</c:v>
                </c:pt>
                <c:pt idx="113">
                  <c:v>272.26535999999993</c:v>
                </c:pt>
                <c:pt idx="114">
                  <c:v>267.12167999999997</c:v>
                </c:pt>
                <c:pt idx="115">
                  <c:v>261.93287999999995</c:v>
                </c:pt>
                <c:pt idx="116">
                  <c:v>256.69895999999994</c:v>
                </c:pt>
                <c:pt idx="117">
                  <c:v>251.41991999999996</c:v>
                </c:pt>
                <c:pt idx="118">
                  <c:v>246.09575999999996</c:v>
                </c:pt>
                <c:pt idx="119">
                  <c:v>240.72647999999995</c:v>
                </c:pt>
                <c:pt idx="120">
                  <c:v>235.31207999999992</c:v>
                </c:pt>
                <c:pt idx="121">
                  <c:v>229.85255999999995</c:v>
                </c:pt>
                <c:pt idx="122">
                  <c:v>224.34791999999996</c:v>
                </c:pt>
                <c:pt idx="123">
                  <c:v>218.79815999999994</c:v>
                </c:pt>
                <c:pt idx="124">
                  <c:v>213.20327999999998</c:v>
                </c:pt>
                <c:pt idx="125">
                  <c:v>207.56327999999996</c:v>
                </c:pt>
                <c:pt idx="126">
                  <c:v>203.77319999999995</c:v>
                </c:pt>
                <c:pt idx="127">
                  <c:v>203.77319999999995</c:v>
                </c:pt>
                <c:pt idx="128">
                  <c:v>203.77319999999995</c:v>
                </c:pt>
                <c:pt idx="129">
                  <c:v>203.77319999999995</c:v>
                </c:pt>
                <c:pt idx="130">
                  <c:v>203.77319999999995</c:v>
                </c:pt>
                <c:pt idx="131">
                  <c:v>203.77319999999995</c:v>
                </c:pt>
                <c:pt idx="132">
                  <c:v>203.77319999999995</c:v>
                </c:pt>
                <c:pt idx="133">
                  <c:v>203.77319999999995</c:v>
                </c:pt>
                <c:pt idx="134">
                  <c:v>205.29599999999994</c:v>
                </c:pt>
                <c:pt idx="135">
                  <c:v>209.86439999999996</c:v>
                </c:pt>
                <c:pt idx="136">
                  <c:v>214.46663999999998</c:v>
                </c:pt>
                <c:pt idx="137">
                  <c:v>219.10271999999995</c:v>
                </c:pt>
                <c:pt idx="138">
                  <c:v>223.77263999999997</c:v>
                </c:pt>
                <c:pt idx="139">
                  <c:v>228.47639999999996</c:v>
                </c:pt>
              </c:numCache>
            </c:numRef>
          </c:yVal>
          <c:smooth val="1"/>
        </c:ser>
        <c:ser>
          <c:idx val="2"/>
          <c:order val="4"/>
          <c:tx>
            <c:v>1,6M</c:v>
          </c:tx>
          <c:spPr>
            <a:ln w="2540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Recovery!$L$7:$L$146</c:f>
              <c:numCache>
                <c:formatCode>0.00</c:formatCode>
                <c:ptCount val="140"/>
                <c:pt idx="0">
                  <c:v>435.68279999999999</c:v>
                </c:pt>
                <c:pt idx="1">
                  <c:v>435.57695999999999</c:v>
                </c:pt>
                <c:pt idx="2">
                  <c:v>435.38040000000001</c:v>
                </c:pt>
                <c:pt idx="3">
                  <c:v>435.09312</c:v>
                </c:pt>
                <c:pt idx="4">
                  <c:v>434.7</c:v>
                </c:pt>
                <c:pt idx="5">
                  <c:v>434.20103999999992</c:v>
                </c:pt>
                <c:pt idx="6">
                  <c:v>433.61135999999993</c:v>
                </c:pt>
                <c:pt idx="7">
                  <c:v>432.93095999999997</c:v>
                </c:pt>
                <c:pt idx="8">
                  <c:v>432.14472000000001</c:v>
                </c:pt>
                <c:pt idx="9">
                  <c:v>431.25263999999999</c:v>
                </c:pt>
                <c:pt idx="10">
                  <c:v>430.26983999999999</c:v>
                </c:pt>
                <c:pt idx="11">
                  <c:v>429.19631999999996</c:v>
                </c:pt>
                <c:pt idx="12">
                  <c:v>428.01695999999998</c:v>
                </c:pt>
                <c:pt idx="13">
                  <c:v>426.73175999999995</c:v>
                </c:pt>
                <c:pt idx="14">
                  <c:v>425.35584</c:v>
                </c:pt>
                <c:pt idx="15">
                  <c:v>423.88919999999996</c:v>
                </c:pt>
                <c:pt idx="16">
                  <c:v>422.31672000000003</c:v>
                </c:pt>
                <c:pt idx="17">
                  <c:v>420.63839999999999</c:v>
                </c:pt>
                <c:pt idx="18">
                  <c:v>418.86935999999997</c:v>
                </c:pt>
                <c:pt idx="19">
                  <c:v>417.00959999999992</c:v>
                </c:pt>
                <c:pt idx="20">
                  <c:v>415.04399999999998</c:v>
                </c:pt>
                <c:pt idx="21">
                  <c:v>412.97255999999999</c:v>
                </c:pt>
                <c:pt idx="22">
                  <c:v>410.81039999999996</c:v>
                </c:pt>
                <c:pt idx="23">
                  <c:v>408.55751999999995</c:v>
                </c:pt>
                <c:pt idx="24">
                  <c:v>406.19879999999995</c:v>
                </c:pt>
                <c:pt idx="25">
                  <c:v>403.73424</c:v>
                </c:pt>
                <c:pt idx="26">
                  <c:v>401.17895999999996</c:v>
                </c:pt>
                <c:pt idx="27">
                  <c:v>398.53296</c:v>
                </c:pt>
                <c:pt idx="28">
                  <c:v>395.78111999999999</c:v>
                </c:pt>
                <c:pt idx="29">
                  <c:v>392.92344000000003</c:v>
                </c:pt>
                <c:pt idx="30">
                  <c:v>389.97503999999992</c:v>
                </c:pt>
                <c:pt idx="31">
                  <c:v>386.93591999999995</c:v>
                </c:pt>
                <c:pt idx="32">
                  <c:v>383.79095999999998</c:v>
                </c:pt>
                <c:pt idx="33">
                  <c:v>380.54015999999996</c:v>
                </c:pt>
                <c:pt idx="34">
                  <c:v>377.19863999999995</c:v>
                </c:pt>
                <c:pt idx="35">
                  <c:v>373.76639999999998</c:v>
                </c:pt>
                <c:pt idx="36">
                  <c:v>370.22832</c:v>
                </c:pt>
                <c:pt idx="37">
                  <c:v>366.58439999999996</c:v>
                </c:pt>
                <c:pt idx="38">
                  <c:v>362.84975999999995</c:v>
                </c:pt>
                <c:pt idx="39">
                  <c:v>359.02439999999996</c:v>
                </c:pt>
                <c:pt idx="40">
                  <c:v>355.09319999999997</c:v>
                </c:pt>
                <c:pt idx="41">
                  <c:v>351.05615999999998</c:v>
                </c:pt>
                <c:pt idx="42">
                  <c:v>346.92840000000001</c:v>
                </c:pt>
                <c:pt idx="43">
                  <c:v>342.70991999999995</c:v>
                </c:pt>
                <c:pt idx="44">
                  <c:v>338.38559999999995</c:v>
                </c:pt>
                <c:pt idx="45">
                  <c:v>333.95543999999995</c:v>
                </c:pt>
                <c:pt idx="46">
                  <c:v>329.43455999999998</c:v>
                </c:pt>
                <c:pt idx="47">
                  <c:v>327.57479999999998</c:v>
                </c:pt>
                <c:pt idx="48">
                  <c:v>327.57479999999998</c:v>
                </c:pt>
                <c:pt idx="49">
                  <c:v>327.57479999999998</c:v>
                </c:pt>
                <c:pt idx="50">
                  <c:v>327.57479999999998</c:v>
                </c:pt>
                <c:pt idx="51">
                  <c:v>327.57479999999998</c:v>
                </c:pt>
                <c:pt idx="52">
                  <c:v>327.57479999999998</c:v>
                </c:pt>
                <c:pt idx="53">
                  <c:v>327.57479999999998</c:v>
                </c:pt>
                <c:pt idx="54">
                  <c:v>327.57479999999998</c:v>
                </c:pt>
                <c:pt idx="55">
                  <c:v>327.57479999999998</c:v>
                </c:pt>
                <c:pt idx="56">
                  <c:v>327.57479999999998</c:v>
                </c:pt>
                <c:pt idx="57">
                  <c:v>327.57479999999998</c:v>
                </c:pt>
                <c:pt idx="58">
                  <c:v>327.57479999999998</c:v>
                </c:pt>
                <c:pt idx="59">
                  <c:v>327.57479999999998</c:v>
                </c:pt>
                <c:pt idx="60">
                  <c:v>327.57479999999998</c:v>
                </c:pt>
                <c:pt idx="61">
                  <c:v>327.57479999999998</c:v>
                </c:pt>
                <c:pt idx="62">
                  <c:v>327.57479999999998</c:v>
                </c:pt>
                <c:pt idx="63">
                  <c:v>327.72599999999994</c:v>
                </c:pt>
                <c:pt idx="64">
                  <c:v>328.69367999999997</c:v>
                </c:pt>
                <c:pt idx="65">
                  <c:v>329.67647999999997</c:v>
                </c:pt>
                <c:pt idx="66">
                  <c:v>330.67439999999999</c:v>
                </c:pt>
                <c:pt idx="67">
                  <c:v>331.68743999999998</c:v>
                </c:pt>
                <c:pt idx="68">
                  <c:v>332.71559999999999</c:v>
                </c:pt>
                <c:pt idx="69">
                  <c:v>333.75887999999998</c:v>
                </c:pt>
                <c:pt idx="70">
                  <c:v>334.81727999999998</c:v>
                </c:pt>
                <c:pt idx="71">
                  <c:v>335.89079999999996</c:v>
                </c:pt>
                <c:pt idx="72">
                  <c:v>336.97943999999995</c:v>
                </c:pt>
                <c:pt idx="73">
                  <c:v>338.08319999999998</c:v>
                </c:pt>
                <c:pt idx="74">
                  <c:v>339.20207999999997</c:v>
                </c:pt>
                <c:pt idx="75">
                  <c:v>340.33607999999998</c:v>
                </c:pt>
                <c:pt idx="76">
                  <c:v>341.48519999999996</c:v>
                </c:pt>
                <c:pt idx="77">
                  <c:v>342.64943999999997</c:v>
                </c:pt>
                <c:pt idx="78">
                  <c:v>343.82879999999994</c:v>
                </c:pt>
                <c:pt idx="79">
                  <c:v>345.02327999999994</c:v>
                </c:pt>
                <c:pt idx="80">
                  <c:v>346.73183999999998</c:v>
                </c:pt>
                <c:pt idx="81">
                  <c:v>350.14895999999999</c:v>
                </c:pt>
                <c:pt idx="82">
                  <c:v>353.62655999999993</c:v>
                </c:pt>
                <c:pt idx="83">
                  <c:v>357.13439999999997</c:v>
                </c:pt>
                <c:pt idx="84">
                  <c:v>360.70271999999994</c:v>
                </c:pt>
                <c:pt idx="85">
                  <c:v>364.30127999999996</c:v>
                </c:pt>
                <c:pt idx="86">
                  <c:v>367.93007999999998</c:v>
                </c:pt>
                <c:pt idx="87">
                  <c:v>371.61935999999997</c:v>
                </c:pt>
                <c:pt idx="88">
                  <c:v>375.33887999999996</c:v>
                </c:pt>
                <c:pt idx="89">
                  <c:v>379.11887999999999</c:v>
                </c:pt>
                <c:pt idx="90">
                  <c:v>382.92912000000001</c:v>
                </c:pt>
                <c:pt idx="91">
                  <c:v>386.76959999999997</c:v>
                </c:pt>
                <c:pt idx="92">
                  <c:v>390.67056000000002</c:v>
                </c:pt>
                <c:pt idx="93">
                  <c:v>394.60175999999996</c:v>
                </c:pt>
                <c:pt idx="94">
                  <c:v>398.59343999999999</c:v>
                </c:pt>
                <c:pt idx="95">
                  <c:v>402.61535999999995</c:v>
                </c:pt>
                <c:pt idx="96">
                  <c:v>406.66751999999997</c:v>
                </c:pt>
                <c:pt idx="97">
                  <c:v>409.22279999999995</c:v>
                </c:pt>
                <c:pt idx="98">
                  <c:v>409.22279999999995</c:v>
                </c:pt>
                <c:pt idx="99">
                  <c:v>409.22279999999995</c:v>
                </c:pt>
                <c:pt idx="100">
                  <c:v>409.22279999999995</c:v>
                </c:pt>
                <c:pt idx="101">
                  <c:v>409.22279999999995</c:v>
                </c:pt>
                <c:pt idx="102">
                  <c:v>408.92039999999997</c:v>
                </c:pt>
                <c:pt idx="103">
                  <c:v>405.80568</c:v>
                </c:pt>
                <c:pt idx="104">
                  <c:v>402.66072000000003</c:v>
                </c:pt>
                <c:pt idx="105">
                  <c:v>399.48551999999995</c:v>
                </c:pt>
                <c:pt idx="106">
                  <c:v>396.28007999999994</c:v>
                </c:pt>
                <c:pt idx="107">
                  <c:v>393.0444</c:v>
                </c:pt>
                <c:pt idx="108">
                  <c:v>389.77847999999994</c:v>
                </c:pt>
                <c:pt idx="109">
                  <c:v>386.48231999999996</c:v>
                </c:pt>
                <c:pt idx="110">
                  <c:v>383.15591999999998</c:v>
                </c:pt>
                <c:pt idx="111">
                  <c:v>378.55943999999994</c:v>
                </c:pt>
                <c:pt idx="112">
                  <c:v>371.78567999999996</c:v>
                </c:pt>
                <c:pt idx="113">
                  <c:v>364.95143999999999</c:v>
                </c:pt>
                <c:pt idx="114">
                  <c:v>358.05671999999998</c:v>
                </c:pt>
                <c:pt idx="115">
                  <c:v>351.10151999999999</c:v>
                </c:pt>
                <c:pt idx="116">
                  <c:v>344.08584000000002</c:v>
                </c:pt>
                <c:pt idx="117">
                  <c:v>337.00968</c:v>
                </c:pt>
                <c:pt idx="118">
                  <c:v>329.87304</c:v>
                </c:pt>
                <c:pt idx="119">
                  <c:v>322.67591999999996</c:v>
                </c:pt>
                <c:pt idx="120">
                  <c:v>315.41831999999994</c:v>
                </c:pt>
                <c:pt idx="121">
                  <c:v>308.10023999999999</c:v>
                </c:pt>
                <c:pt idx="122">
                  <c:v>300.72167999999999</c:v>
                </c:pt>
                <c:pt idx="123">
                  <c:v>293.28263999999996</c:v>
                </c:pt>
                <c:pt idx="124">
                  <c:v>285.78312</c:v>
                </c:pt>
                <c:pt idx="125">
                  <c:v>278.22311999999999</c:v>
                </c:pt>
                <c:pt idx="126">
                  <c:v>273.14279999999997</c:v>
                </c:pt>
                <c:pt idx="127">
                  <c:v>273.14279999999997</c:v>
                </c:pt>
                <c:pt idx="128">
                  <c:v>273.14279999999997</c:v>
                </c:pt>
                <c:pt idx="129">
                  <c:v>273.14279999999997</c:v>
                </c:pt>
                <c:pt idx="130">
                  <c:v>273.14279999999997</c:v>
                </c:pt>
                <c:pt idx="131">
                  <c:v>273.14279999999997</c:v>
                </c:pt>
                <c:pt idx="132">
                  <c:v>273.14279999999997</c:v>
                </c:pt>
                <c:pt idx="133">
                  <c:v>273.14279999999997</c:v>
                </c:pt>
                <c:pt idx="134">
                  <c:v>275.18399999999997</c:v>
                </c:pt>
                <c:pt idx="135">
                  <c:v>281.30759999999998</c:v>
                </c:pt>
                <c:pt idx="136">
                  <c:v>287.47656000000001</c:v>
                </c:pt>
                <c:pt idx="137">
                  <c:v>293.69087999999999</c:v>
                </c:pt>
                <c:pt idx="138">
                  <c:v>299.95056</c:v>
                </c:pt>
                <c:pt idx="139">
                  <c:v>306.25559999999996</c:v>
                </c:pt>
              </c:numCache>
            </c:numRef>
          </c:yVal>
          <c:smooth val="1"/>
        </c:ser>
        <c:ser>
          <c:idx val="1"/>
          <c:order val="5"/>
          <c:tx>
            <c:v>3,5M</c:v>
          </c:tx>
          <c:spPr>
            <a:ln w="254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Recovery!$N$7:$N$146</c:f>
              <c:numCache>
                <c:formatCode>0.00</c:formatCode>
                <c:ptCount val="140"/>
                <c:pt idx="0">
                  <c:v>994.11749999999972</c:v>
                </c:pt>
                <c:pt idx="1">
                  <c:v>993.87599999999975</c:v>
                </c:pt>
                <c:pt idx="2">
                  <c:v>993.42749999999978</c:v>
                </c:pt>
                <c:pt idx="3">
                  <c:v>992.77199999999982</c:v>
                </c:pt>
                <c:pt idx="4">
                  <c:v>991.87499999999977</c:v>
                </c:pt>
                <c:pt idx="5">
                  <c:v>990.73649999999964</c:v>
                </c:pt>
                <c:pt idx="6">
                  <c:v>989.39099999999974</c:v>
                </c:pt>
                <c:pt idx="7">
                  <c:v>987.83849999999973</c:v>
                </c:pt>
                <c:pt idx="8">
                  <c:v>986.04449999999986</c:v>
                </c:pt>
                <c:pt idx="9">
                  <c:v>984.00899999999967</c:v>
                </c:pt>
                <c:pt idx="10">
                  <c:v>981.76649999999972</c:v>
                </c:pt>
                <c:pt idx="11">
                  <c:v>979.31699999999967</c:v>
                </c:pt>
                <c:pt idx="12">
                  <c:v>976.62599999999975</c:v>
                </c:pt>
                <c:pt idx="13">
                  <c:v>973.69349999999963</c:v>
                </c:pt>
                <c:pt idx="14">
                  <c:v>970.55399999999975</c:v>
                </c:pt>
                <c:pt idx="15">
                  <c:v>967.20749999999964</c:v>
                </c:pt>
                <c:pt idx="16">
                  <c:v>963.61949999999979</c:v>
                </c:pt>
                <c:pt idx="17">
                  <c:v>959.78999999999974</c:v>
                </c:pt>
                <c:pt idx="18">
                  <c:v>955.75349999999969</c:v>
                </c:pt>
                <c:pt idx="19">
                  <c:v>951.50999999999965</c:v>
                </c:pt>
                <c:pt idx="20">
                  <c:v>947.02499999999975</c:v>
                </c:pt>
                <c:pt idx="21">
                  <c:v>942.29849999999976</c:v>
                </c:pt>
                <c:pt idx="22">
                  <c:v>937.36499999999978</c:v>
                </c:pt>
                <c:pt idx="23">
                  <c:v>932.22449999999969</c:v>
                </c:pt>
                <c:pt idx="24">
                  <c:v>926.84249999999975</c:v>
                </c:pt>
                <c:pt idx="25">
                  <c:v>921.21899999999971</c:v>
                </c:pt>
                <c:pt idx="26">
                  <c:v>915.38849999999979</c:v>
                </c:pt>
                <c:pt idx="27">
                  <c:v>909.35099999999977</c:v>
                </c:pt>
                <c:pt idx="28">
                  <c:v>903.07199999999978</c:v>
                </c:pt>
                <c:pt idx="29">
                  <c:v>896.55149999999981</c:v>
                </c:pt>
                <c:pt idx="30">
                  <c:v>889.82399999999973</c:v>
                </c:pt>
                <c:pt idx="31">
                  <c:v>882.88949999999966</c:v>
                </c:pt>
                <c:pt idx="32">
                  <c:v>875.71349999999973</c:v>
                </c:pt>
                <c:pt idx="33">
                  <c:v>868.29599999999971</c:v>
                </c:pt>
                <c:pt idx="34">
                  <c:v>860.6714999999997</c:v>
                </c:pt>
                <c:pt idx="35">
                  <c:v>852.8399999999998</c:v>
                </c:pt>
                <c:pt idx="36">
                  <c:v>844.76699999999983</c:v>
                </c:pt>
                <c:pt idx="37">
                  <c:v>836.45249999999976</c:v>
                </c:pt>
                <c:pt idx="38">
                  <c:v>827.9309999999997</c:v>
                </c:pt>
                <c:pt idx="39">
                  <c:v>819.20249999999976</c:v>
                </c:pt>
                <c:pt idx="40">
                  <c:v>810.23249999999973</c:v>
                </c:pt>
                <c:pt idx="41">
                  <c:v>801.02099999999973</c:v>
                </c:pt>
                <c:pt idx="42">
                  <c:v>791.60249999999985</c:v>
                </c:pt>
                <c:pt idx="43">
                  <c:v>781.97699999999975</c:v>
                </c:pt>
                <c:pt idx="44">
                  <c:v>772.10999999999979</c:v>
                </c:pt>
                <c:pt idx="45">
                  <c:v>762.00149999999974</c:v>
                </c:pt>
                <c:pt idx="46">
                  <c:v>751.68599999999969</c:v>
                </c:pt>
                <c:pt idx="47">
                  <c:v>747.44249999999977</c:v>
                </c:pt>
                <c:pt idx="48">
                  <c:v>747.44249999999977</c:v>
                </c:pt>
                <c:pt idx="49">
                  <c:v>747.44249999999977</c:v>
                </c:pt>
                <c:pt idx="50">
                  <c:v>747.44249999999977</c:v>
                </c:pt>
                <c:pt idx="51">
                  <c:v>747.44249999999977</c:v>
                </c:pt>
                <c:pt idx="52">
                  <c:v>747.44249999999977</c:v>
                </c:pt>
                <c:pt idx="53">
                  <c:v>747.44249999999977</c:v>
                </c:pt>
                <c:pt idx="54">
                  <c:v>747.44249999999977</c:v>
                </c:pt>
                <c:pt idx="55">
                  <c:v>747.44249999999977</c:v>
                </c:pt>
                <c:pt idx="56">
                  <c:v>747.44249999999977</c:v>
                </c:pt>
                <c:pt idx="57">
                  <c:v>747.44249999999977</c:v>
                </c:pt>
                <c:pt idx="58">
                  <c:v>747.44249999999977</c:v>
                </c:pt>
                <c:pt idx="59">
                  <c:v>747.44249999999977</c:v>
                </c:pt>
                <c:pt idx="60">
                  <c:v>747.44249999999977</c:v>
                </c:pt>
                <c:pt idx="61">
                  <c:v>747.44249999999977</c:v>
                </c:pt>
                <c:pt idx="62">
                  <c:v>747.44249999999977</c:v>
                </c:pt>
                <c:pt idx="63">
                  <c:v>747.7874999999998</c:v>
                </c:pt>
                <c:pt idx="64">
                  <c:v>749.99549999999977</c:v>
                </c:pt>
                <c:pt idx="65">
                  <c:v>752.23799999999972</c:v>
                </c:pt>
                <c:pt idx="66">
                  <c:v>754.51499999999976</c:v>
                </c:pt>
                <c:pt idx="67">
                  <c:v>756.82649999999978</c:v>
                </c:pt>
                <c:pt idx="68">
                  <c:v>759.17249999999979</c:v>
                </c:pt>
                <c:pt idx="69">
                  <c:v>761.55299999999977</c:v>
                </c:pt>
                <c:pt idx="70">
                  <c:v>763.96799999999973</c:v>
                </c:pt>
                <c:pt idx="71">
                  <c:v>766.41749999999979</c:v>
                </c:pt>
                <c:pt idx="72">
                  <c:v>768.90149999999971</c:v>
                </c:pt>
                <c:pt idx="73">
                  <c:v>771.41999999999973</c:v>
                </c:pt>
                <c:pt idx="74">
                  <c:v>773.97299999999973</c:v>
                </c:pt>
                <c:pt idx="75">
                  <c:v>776.56049999999971</c:v>
                </c:pt>
                <c:pt idx="76">
                  <c:v>779.18249999999978</c:v>
                </c:pt>
                <c:pt idx="77">
                  <c:v>781.83899999999971</c:v>
                </c:pt>
                <c:pt idx="78">
                  <c:v>784.52999999999975</c:v>
                </c:pt>
                <c:pt idx="79">
                  <c:v>787.25549999999976</c:v>
                </c:pt>
                <c:pt idx="80">
                  <c:v>791.15399999999977</c:v>
                </c:pt>
                <c:pt idx="81">
                  <c:v>798.95099999999979</c:v>
                </c:pt>
                <c:pt idx="82">
                  <c:v>806.88599999999974</c:v>
                </c:pt>
                <c:pt idx="83">
                  <c:v>814.88999999999976</c:v>
                </c:pt>
                <c:pt idx="84">
                  <c:v>823.0319999999997</c:v>
                </c:pt>
                <c:pt idx="85">
                  <c:v>831.24299999999971</c:v>
                </c:pt>
                <c:pt idx="86">
                  <c:v>839.5229999999998</c:v>
                </c:pt>
                <c:pt idx="87">
                  <c:v>847.94099999999969</c:v>
                </c:pt>
                <c:pt idx="88">
                  <c:v>856.42799999999977</c:v>
                </c:pt>
                <c:pt idx="89">
                  <c:v>865.05299999999977</c:v>
                </c:pt>
                <c:pt idx="90">
                  <c:v>873.74699999999984</c:v>
                </c:pt>
                <c:pt idx="91">
                  <c:v>882.50999999999976</c:v>
                </c:pt>
                <c:pt idx="92">
                  <c:v>891.41099999999983</c:v>
                </c:pt>
                <c:pt idx="93">
                  <c:v>900.38099999999963</c:v>
                </c:pt>
                <c:pt idx="94">
                  <c:v>909.48899999999981</c:v>
                </c:pt>
                <c:pt idx="95">
                  <c:v>918.66599999999971</c:v>
                </c:pt>
                <c:pt idx="96">
                  <c:v>927.91199999999969</c:v>
                </c:pt>
                <c:pt idx="97">
                  <c:v>933.74249999999972</c:v>
                </c:pt>
                <c:pt idx="98">
                  <c:v>933.74249999999972</c:v>
                </c:pt>
                <c:pt idx="99">
                  <c:v>933.74249999999972</c:v>
                </c:pt>
                <c:pt idx="100">
                  <c:v>933.74249999999972</c:v>
                </c:pt>
                <c:pt idx="101">
                  <c:v>933.74249999999972</c:v>
                </c:pt>
                <c:pt idx="102">
                  <c:v>933.05249999999978</c:v>
                </c:pt>
                <c:pt idx="103">
                  <c:v>925.94549999999981</c:v>
                </c:pt>
                <c:pt idx="104">
                  <c:v>918.76949999999977</c:v>
                </c:pt>
                <c:pt idx="105">
                  <c:v>911.52449999999976</c:v>
                </c:pt>
                <c:pt idx="106">
                  <c:v>904.21049999999968</c:v>
                </c:pt>
                <c:pt idx="107">
                  <c:v>896.82749999999976</c:v>
                </c:pt>
                <c:pt idx="108">
                  <c:v>889.37549999999965</c:v>
                </c:pt>
                <c:pt idx="109">
                  <c:v>881.8544999999998</c:v>
                </c:pt>
                <c:pt idx="110">
                  <c:v>874.26449999999966</c:v>
                </c:pt>
                <c:pt idx="111">
                  <c:v>863.77649999999971</c:v>
                </c:pt>
                <c:pt idx="112">
                  <c:v>848.32049999999981</c:v>
                </c:pt>
                <c:pt idx="113">
                  <c:v>832.72649999999976</c:v>
                </c:pt>
                <c:pt idx="114">
                  <c:v>816.99449999999979</c:v>
                </c:pt>
                <c:pt idx="115">
                  <c:v>801.12449999999978</c:v>
                </c:pt>
                <c:pt idx="116">
                  <c:v>785.11649999999986</c:v>
                </c:pt>
                <c:pt idx="117">
                  <c:v>768.97049999999979</c:v>
                </c:pt>
                <c:pt idx="118">
                  <c:v>752.6864999999998</c:v>
                </c:pt>
                <c:pt idx="119">
                  <c:v>736.26449999999977</c:v>
                </c:pt>
                <c:pt idx="120">
                  <c:v>719.70449999999971</c:v>
                </c:pt>
                <c:pt idx="121">
                  <c:v>703.00649999999985</c:v>
                </c:pt>
                <c:pt idx="122">
                  <c:v>686.17049999999983</c:v>
                </c:pt>
                <c:pt idx="123">
                  <c:v>669.19649999999979</c:v>
                </c:pt>
                <c:pt idx="124">
                  <c:v>652.08449999999982</c:v>
                </c:pt>
                <c:pt idx="125">
                  <c:v>634.83449999999982</c:v>
                </c:pt>
                <c:pt idx="126">
                  <c:v>623.24249999999984</c:v>
                </c:pt>
                <c:pt idx="127">
                  <c:v>623.24249999999984</c:v>
                </c:pt>
                <c:pt idx="128">
                  <c:v>623.24249999999984</c:v>
                </c:pt>
                <c:pt idx="129">
                  <c:v>623.24249999999984</c:v>
                </c:pt>
                <c:pt idx="130">
                  <c:v>623.24249999999984</c:v>
                </c:pt>
                <c:pt idx="131">
                  <c:v>623.24249999999984</c:v>
                </c:pt>
                <c:pt idx="132">
                  <c:v>623.24249999999984</c:v>
                </c:pt>
                <c:pt idx="133">
                  <c:v>623.24249999999984</c:v>
                </c:pt>
                <c:pt idx="134">
                  <c:v>627.89999999999975</c:v>
                </c:pt>
                <c:pt idx="135">
                  <c:v>641.87249999999983</c:v>
                </c:pt>
                <c:pt idx="136">
                  <c:v>655.94849999999985</c:v>
                </c:pt>
                <c:pt idx="137">
                  <c:v>670.12799999999982</c:v>
                </c:pt>
                <c:pt idx="138">
                  <c:v>684.41099999999983</c:v>
                </c:pt>
                <c:pt idx="139">
                  <c:v>698.79749999999979</c:v>
                </c:pt>
              </c:numCache>
            </c:numRef>
          </c:yVal>
          <c:smooth val="1"/>
        </c:ser>
        <c:ser>
          <c:idx val="3"/>
          <c:order val="6"/>
          <c:tx>
            <c:v>7,0M</c:v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Recovery!$D$7:$D$146</c:f>
              <c:numCache>
                <c:formatCode>General</c:formatCode>
                <c:ptCount val="140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0.36</c:v>
                </c:pt>
                <c:pt idx="9">
                  <c:v>0.45</c:v>
                </c:pt>
                <c:pt idx="10">
                  <c:v>0.55000000000000004</c:v>
                </c:pt>
                <c:pt idx="11">
                  <c:v>0.66</c:v>
                </c:pt>
                <c:pt idx="12">
                  <c:v>0.78</c:v>
                </c:pt>
                <c:pt idx="13">
                  <c:v>0.91</c:v>
                </c:pt>
                <c:pt idx="14">
                  <c:v>1.05</c:v>
                </c:pt>
                <c:pt idx="15">
                  <c:v>1.2</c:v>
                </c:pt>
                <c:pt idx="16">
                  <c:v>1.36</c:v>
                </c:pt>
                <c:pt idx="17">
                  <c:v>1.53</c:v>
                </c:pt>
                <c:pt idx="18">
                  <c:v>1.71</c:v>
                </c:pt>
                <c:pt idx="19">
                  <c:v>1.9</c:v>
                </c:pt>
                <c:pt idx="20">
                  <c:v>2.1</c:v>
                </c:pt>
                <c:pt idx="21">
                  <c:v>2.31</c:v>
                </c:pt>
                <c:pt idx="22">
                  <c:v>2.5299999999999998</c:v>
                </c:pt>
                <c:pt idx="23">
                  <c:v>2.76</c:v>
                </c:pt>
                <c:pt idx="24">
                  <c:v>3</c:v>
                </c:pt>
                <c:pt idx="25">
                  <c:v>3.25</c:v>
                </c:pt>
                <c:pt idx="26">
                  <c:v>3.51</c:v>
                </c:pt>
                <c:pt idx="27">
                  <c:v>3.78</c:v>
                </c:pt>
                <c:pt idx="28">
                  <c:v>4.0599999999999996</c:v>
                </c:pt>
                <c:pt idx="29">
                  <c:v>4.3499999999999996</c:v>
                </c:pt>
                <c:pt idx="30">
                  <c:v>4.6500000000000004</c:v>
                </c:pt>
                <c:pt idx="31">
                  <c:v>4.96</c:v>
                </c:pt>
                <c:pt idx="32">
                  <c:v>5.28</c:v>
                </c:pt>
                <c:pt idx="33">
                  <c:v>5.61</c:v>
                </c:pt>
                <c:pt idx="34">
                  <c:v>5.95</c:v>
                </c:pt>
                <c:pt idx="35">
                  <c:v>6.3</c:v>
                </c:pt>
                <c:pt idx="36">
                  <c:v>6.66</c:v>
                </c:pt>
                <c:pt idx="37">
                  <c:v>7.03</c:v>
                </c:pt>
                <c:pt idx="38">
                  <c:v>7.41</c:v>
                </c:pt>
                <c:pt idx="39">
                  <c:v>7.8</c:v>
                </c:pt>
                <c:pt idx="40">
                  <c:v>8.1999999999999993</c:v>
                </c:pt>
                <c:pt idx="41">
                  <c:v>8.61</c:v>
                </c:pt>
                <c:pt idx="42">
                  <c:v>9.0299999999999994</c:v>
                </c:pt>
                <c:pt idx="43">
                  <c:v>9.4600000000000009</c:v>
                </c:pt>
                <c:pt idx="44">
                  <c:v>9.9</c:v>
                </c:pt>
                <c:pt idx="45">
                  <c:v>10.35</c:v>
                </c:pt>
                <c:pt idx="46">
                  <c:v>10.81</c:v>
                </c:pt>
                <c:pt idx="47">
                  <c:v>11.28</c:v>
                </c:pt>
                <c:pt idx="48">
                  <c:v>11.76</c:v>
                </c:pt>
                <c:pt idx="49">
                  <c:v>12.25</c:v>
                </c:pt>
                <c:pt idx="50">
                  <c:v>12.75</c:v>
                </c:pt>
                <c:pt idx="51">
                  <c:v>13.26</c:v>
                </c:pt>
                <c:pt idx="52">
                  <c:v>13.78</c:v>
                </c:pt>
                <c:pt idx="53">
                  <c:v>14.31</c:v>
                </c:pt>
                <c:pt idx="54">
                  <c:v>14.85</c:v>
                </c:pt>
                <c:pt idx="55">
                  <c:v>15.4</c:v>
                </c:pt>
                <c:pt idx="56">
                  <c:v>15.96</c:v>
                </c:pt>
                <c:pt idx="57">
                  <c:v>16.53</c:v>
                </c:pt>
                <c:pt idx="58">
                  <c:v>17.11</c:v>
                </c:pt>
                <c:pt idx="59">
                  <c:v>17.7</c:v>
                </c:pt>
                <c:pt idx="60">
                  <c:v>18.3</c:v>
                </c:pt>
                <c:pt idx="61">
                  <c:v>18.91</c:v>
                </c:pt>
                <c:pt idx="62">
                  <c:v>19.53</c:v>
                </c:pt>
                <c:pt idx="63">
                  <c:v>20.16</c:v>
                </c:pt>
                <c:pt idx="64">
                  <c:v>20.8</c:v>
                </c:pt>
                <c:pt idx="65">
                  <c:v>21.45</c:v>
                </c:pt>
                <c:pt idx="66">
                  <c:v>22.11</c:v>
                </c:pt>
                <c:pt idx="67">
                  <c:v>22.78</c:v>
                </c:pt>
                <c:pt idx="68">
                  <c:v>23.46</c:v>
                </c:pt>
                <c:pt idx="69">
                  <c:v>24.15</c:v>
                </c:pt>
                <c:pt idx="70">
                  <c:v>24.85</c:v>
                </c:pt>
                <c:pt idx="71">
                  <c:v>25.56</c:v>
                </c:pt>
                <c:pt idx="72">
                  <c:v>26.28</c:v>
                </c:pt>
                <c:pt idx="73">
                  <c:v>27.01</c:v>
                </c:pt>
                <c:pt idx="74">
                  <c:v>27.75</c:v>
                </c:pt>
                <c:pt idx="75">
                  <c:v>28.5</c:v>
                </c:pt>
                <c:pt idx="76">
                  <c:v>29.26</c:v>
                </c:pt>
                <c:pt idx="77">
                  <c:v>30.03</c:v>
                </c:pt>
                <c:pt idx="78">
                  <c:v>30.81</c:v>
                </c:pt>
                <c:pt idx="79">
                  <c:v>31.6</c:v>
                </c:pt>
                <c:pt idx="80">
                  <c:v>32.4</c:v>
                </c:pt>
                <c:pt idx="81">
                  <c:v>33.21</c:v>
                </c:pt>
                <c:pt idx="82">
                  <c:v>34.03</c:v>
                </c:pt>
                <c:pt idx="83">
                  <c:v>34.86</c:v>
                </c:pt>
                <c:pt idx="84">
                  <c:v>35.700000000000003</c:v>
                </c:pt>
                <c:pt idx="85">
                  <c:v>36.549999999999997</c:v>
                </c:pt>
                <c:pt idx="86">
                  <c:v>37.409999999999997</c:v>
                </c:pt>
                <c:pt idx="87">
                  <c:v>38.28</c:v>
                </c:pt>
                <c:pt idx="88">
                  <c:v>39.159999999999997</c:v>
                </c:pt>
                <c:pt idx="89">
                  <c:v>40.049999999999997</c:v>
                </c:pt>
                <c:pt idx="90">
                  <c:v>40.950000000000003</c:v>
                </c:pt>
                <c:pt idx="91">
                  <c:v>41.86</c:v>
                </c:pt>
                <c:pt idx="92">
                  <c:v>42.78</c:v>
                </c:pt>
                <c:pt idx="93">
                  <c:v>43.71</c:v>
                </c:pt>
                <c:pt idx="94">
                  <c:v>44.65</c:v>
                </c:pt>
                <c:pt idx="95">
                  <c:v>45.6</c:v>
                </c:pt>
                <c:pt idx="96">
                  <c:v>46.56</c:v>
                </c:pt>
                <c:pt idx="97">
                  <c:v>47.53</c:v>
                </c:pt>
                <c:pt idx="98">
                  <c:v>48.51</c:v>
                </c:pt>
                <c:pt idx="99">
                  <c:v>49.5</c:v>
                </c:pt>
                <c:pt idx="100">
                  <c:v>50.5</c:v>
                </c:pt>
                <c:pt idx="101">
                  <c:v>51.51</c:v>
                </c:pt>
                <c:pt idx="102">
                  <c:v>52.53</c:v>
                </c:pt>
                <c:pt idx="103">
                  <c:v>53.56</c:v>
                </c:pt>
                <c:pt idx="104">
                  <c:v>54.6</c:v>
                </c:pt>
                <c:pt idx="105">
                  <c:v>55.65</c:v>
                </c:pt>
                <c:pt idx="106">
                  <c:v>56.71</c:v>
                </c:pt>
                <c:pt idx="107">
                  <c:v>57.78</c:v>
                </c:pt>
                <c:pt idx="108">
                  <c:v>58.86</c:v>
                </c:pt>
                <c:pt idx="109">
                  <c:v>59.95</c:v>
                </c:pt>
                <c:pt idx="110">
                  <c:v>61.05</c:v>
                </c:pt>
                <c:pt idx="111">
                  <c:v>62.16</c:v>
                </c:pt>
                <c:pt idx="112">
                  <c:v>63.28</c:v>
                </c:pt>
                <c:pt idx="113">
                  <c:v>64.41</c:v>
                </c:pt>
                <c:pt idx="114">
                  <c:v>65.55</c:v>
                </c:pt>
                <c:pt idx="115">
                  <c:v>66.7</c:v>
                </c:pt>
                <c:pt idx="116">
                  <c:v>67.86</c:v>
                </c:pt>
                <c:pt idx="117">
                  <c:v>69.03</c:v>
                </c:pt>
                <c:pt idx="118">
                  <c:v>70.209999999999994</c:v>
                </c:pt>
                <c:pt idx="119">
                  <c:v>71.400000000000006</c:v>
                </c:pt>
                <c:pt idx="120">
                  <c:v>72.599999999999994</c:v>
                </c:pt>
                <c:pt idx="121">
                  <c:v>73.81</c:v>
                </c:pt>
                <c:pt idx="122">
                  <c:v>75.03</c:v>
                </c:pt>
                <c:pt idx="123">
                  <c:v>76.260000000000005</c:v>
                </c:pt>
                <c:pt idx="124">
                  <c:v>77.5</c:v>
                </c:pt>
                <c:pt idx="125">
                  <c:v>78.75</c:v>
                </c:pt>
                <c:pt idx="126">
                  <c:v>80.010000000000005</c:v>
                </c:pt>
                <c:pt idx="127">
                  <c:v>81.28</c:v>
                </c:pt>
                <c:pt idx="128">
                  <c:v>82.56</c:v>
                </c:pt>
                <c:pt idx="129">
                  <c:v>83.85</c:v>
                </c:pt>
                <c:pt idx="130">
                  <c:v>85.15</c:v>
                </c:pt>
                <c:pt idx="131">
                  <c:v>86.46</c:v>
                </c:pt>
                <c:pt idx="132">
                  <c:v>87.78</c:v>
                </c:pt>
                <c:pt idx="133">
                  <c:v>89.11</c:v>
                </c:pt>
                <c:pt idx="134">
                  <c:v>90.45</c:v>
                </c:pt>
                <c:pt idx="135">
                  <c:v>91.8</c:v>
                </c:pt>
                <c:pt idx="136">
                  <c:v>93.16</c:v>
                </c:pt>
                <c:pt idx="137">
                  <c:v>94.53</c:v>
                </c:pt>
                <c:pt idx="138">
                  <c:v>95.91</c:v>
                </c:pt>
                <c:pt idx="139">
                  <c:v>97.3</c:v>
                </c:pt>
              </c:numCache>
            </c:numRef>
          </c:xVal>
          <c:yVal>
            <c:numRef>
              <c:f>Recovery!$P$7:$P$146</c:f>
              <c:numCache>
                <c:formatCode>0.00</c:formatCode>
                <c:ptCount val="140"/>
                <c:pt idx="0">
                  <c:v>3112.0199999999991</c:v>
                </c:pt>
                <c:pt idx="1">
                  <c:v>3111.2639999999992</c:v>
                </c:pt>
                <c:pt idx="2">
                  <c:v>3109.8599999999992</c:v>
                </c:pt>
                <c:pt idx="3">
                  <c:v>3107.8079999999991</c:v>
                </c:pt>
                <c:pt idx="4">
                  <c:v>3104.9999999999991</c:v>
                </c:pt>
                <c:pt idx="5">
                  <c:v>3101.4359999999988</c:v>
                </c:pt>
                <c:pt idx="6">
                  <c:v>3097.2239999999988</c:v>
                </c:pt>
                <c:pt idx="7">
                  <c:v>3092.3639999999991</c:v>
                </c:pt>
                <c:pt idx="8">
                  <c:v>3086.7479999999991</c:v>
                </c:pt>
                <c:pt idx="9">
                  <c:v>3080.3759999999988</c:v>
                </c:pt>
                <c:pt idx="10">
                  <c:v>3073.3559999999993</c:v>
                </c:pt>
                <c:pt idx="11">
                  <c:v>3065.6879999999987</c:v>
                </c:pt>
                <c:pt idx="12">
                  <c:v>3057.2639999999992</c:v>
                </c:pt>
                <c:pt idx="13">
                  <c:v>3048.0839999999989</c:v>
                </c:pt>
                <c:pt idx="14">
                  <c:v>3038.2559999999989</c:v>
                </c:pt>
                <c:pt idx="15">
                  <c:v>3027.7799999999988</c:v>
                </c:pt>
                <c:pt idx="16">
                  <c:v>3016.5479999999993</c:v>
                </c:pt>
                <c:pt idx="17">
                  <c:v>3004.559999999999</c:v>
                </c:pt>
                <c:pt idx="18">
                  <c:v>2991.9239999999991</c:v>
                </c:pt>
                <c:pt idx="19">
                  <c:v>2978.6399999999985</c:v>
                </c:pt>
                <c:pt idx="20">
                  <c:v>2964.599999999999</c:v>
                </c:pt>
                <c:pt idx="21">
                  <c:v>2949.8039999999992</c:v>
                </c:pt>
                <c:pt idx="22">
                  <c:v>2934.3599999999992</c:v>
                </c:pt>
                <c:pt idx="23">
                  <c:v>2918.2679999999991</c:v>
                </c:pt>
                <c:pt idx="24">
                  <c:v>2901.4199999999992</c:v>
                </c:pt>
                <c:pt idx="25">
                  <c:v>2883.8159999999989</c:v>
                </c:pt>
                <c:pt idx="26">
                  <c:v>2865.5639999999989</c:v>
                </c:pt>
                <c:pt idx="27">
                  <c:v>2846.6639999999993</c:v>
                </c:pt>
                <c:pt idx="28">
                  <c:v>2827.0079999999994</c:v>
                </c:pt>
                <c:pt idx="29">
                  <c:v>2806.5959999999991</c:v>
                </c:pt>
                <c:pt idx="30">
                  <c:v>2785.5359999999987</c:v>
                </c:pt>
                <c:pt idx="31">
                  <c:v>2763.8279999999991</c:v>
                </c:pt>
                <c:pt idx="32">
                  <c:v>2741.3639999999991</c:v>
                </c:pt>
                <c:pt idx="33">
                  <c:v>2718.1439999999989</c:v>
                </c:pt>
                <c:pt idx="34">
                  <c:v>2694.2759999999989</c:v>
                </c:pt>
                <c:pt idx="35">
                  <c:v>2669.7599999999993</c:v>
                </c:pt>
                <c:pt idx="36">
                  <c:v>2644.4879999999989</c:v>
                </c:pt>
                <c:pt idx="37">
                  <c:v>2618.4599999999991</c:v>
                </c:pt>
                <c:pt idx="38">
                  <c:v>2591.7839999999987</c:v>
                </c:pt>
                <c:pt idx="39">
                  <c:v>2564.4599999999991</c:v>
                </c:pt>
                <c:pt idx="40">
                  <c:v>2536.3799999999987</c:v>
                </c:pt>
                <c:pt idx="41">
                  <c:v>2507.543999999999</c:v>
                </c:pt>
                <c:pt idx="42">
                  <c:v>2478.059999999999</c:v>
                </c:pt>
                <c:pt idx="43">
                  <c:v>2447.927999999999</c:v>
                </c:pt>
                <c:pt idx="44">
                  <c:v>2417.0399999999991</c:v>
                </c:pt>
                <c:pt idx="45">
                  <c:v>2385.3959999999993</c:v>
                </c:pt>
                <c:pt idx="46">
                  <c:v>2353.1039999999989</c:v>
                </c:pt>
                <c:pt idx="47">
                  <c:v>2339.8199999999993</c:v>
                </c:pt>
                <c:pt idx="48">
                  <c:v>2339.8199999999993</c:v>
                </c:pt>
                <c:pt idx="49">
                  <c:v>2339.8199999999993</c:v>
                </c:pt>
                <c:pt idx="50">
                  <c:v>2339.8199999999993</c:v>
                </c:pt>
                <c:pt idx="51">
                  <c:v>2339.8199999999993</c:v>
                </c:pt>
                <c:pt idx="52">
                  <c:v>2339.8199999999993</c:v>
                </c:pt>
                <c:pt idx="53">
                  <c:v>2339.8199999999993</c:v>
                </c:pt>
                <c:pt idx="54">
                  <c:v>2339.8199999999993</c:v>
                </c:pt>
                <c:pt idx="55">
                  <c:v>2339.8199999999993</c:v>
                </c:pt>
                <c:pt idx="56">
                  <c:v>2339.8199999999993</c:v>
                </c:pt>
                <c:pt idx="57">
                  <c:v>2339.8199999999993</c:v>
                </c:pt>
                <c:pt idx="58">
                  <c:v>2339.8199999999993</c:v>
                </c:pt>
                <c:pt idx="59">
                  <c:v>2339.8199999999993</c:v>
                </c:pt>
                <c:pt idx="60">
                  <c:v>2339.8199999999993</c:v>
                </c:pt>
                <c:pt idx="61">
                  <c:v>2339.8199999999993</c:v>
                </c:pt>
                <c:pt idx="62">
                  <c:v>2339.8199999999993</c:v>
                </c:pt>
                <c:pt idx="63">
                  <c:v>2340.8999999999992</c:v>
                </c:pt>
                <c:pt idx="64">
                  <c:v>2347.8119999999994</c:v>
                </c:pt>
                <c:pt idx="65">
                  <c:v>2354.831999999999</c:v>
                </c:pt>
                <c:pt idx="66">
                  <c:v>2361.9599999999991</c:v>
                </c:pt>
                <c:pt idx="67">
                  <c:v>2369.195999999999</c:v>
                </c:pt>
                <c:pt idx="68">
                  <c:v>2376.5399999999991</c:v>
                </c:pt>
                <c:pt idx="69">
                  <c:v>2383.9919999999993</c:v>
                </c:pt>
                <c:pt idx="70">
                  <c:v>2391.5519999999992</c:v>
                </c:pt>
                <c:pt idx="71">
                  <c:v>2399.2199999999993</c:v>
                </c:pt>
                <c:pt idx="72">
                  <c:v>2406.9959999999992</c:v>
                </c:pt>
                <c:pt idx="73">
                  <c:v>2414.8799999999992</c:v>
                </c:pt>
                <c:pt idx="74">
                  <c:v>2422.8719999999989</c:v>
                </c:pt>
                <c:pt idx="75">
                  <c:v>2430.9719999999993</c:v>
                </c:pt>
                <c:pt idx="76">
                  <c:v>2439.1799999999989</c:v>
                </c:pt>
                <c:pt idx="77">
                  <c:v>2447.4959999999992</c:v>
                </c:pt>
                <c:pt idx="78">
                  <c:v>2455.9199999999992</c:v>
                </c:pt>
                <c:pt idx="79">
                  <c:v>2464.4519999999989</c:v>
                </c:pt>
                <c:pt idx="80">
                  <c:v>2476.6559999999995</c:v>
                </c:pt>
                <c:pt idx="81">
                  <c:v>2501.0639999999994</c:v>
                </c:pt>
                <c:pt idx="82">
                  <c:v>2525.9039999999991</c:v>
                </c:pt>
                <c:pt idx="83">
                  <c:v>2550.9599999999991</c:v>
                </c:pt>
                <c:pt idx="84">
                  <c:v>2576.447999999999</c:v>
                </c:pt>
                <c:pt idx="85">
                  <c:v>2602.1519999999991</c:v>
                </c:pt>
                <c:pt idx="86">
                  <c:v>2628.0719999999992</c:v>
                </c:pt>
                <c:pt idx="87">
                  <c:v>2654.4239999999991</c:v>
                </c:pt>
                <c:pt idx="88">
                  <c:v>2680.9919999999993</c:v>
                </c:pt>
                <c:pt idx="89">
                  <c:v>2707.9919999999993</c:v>
                </c:pt>
                <c:pt idx="90">
                  <c:v>2735.2079999999992</c:v>
                </c:pt>
                <c:pt idx="91">
                  <c:v>2762.639999999999</c:v>
                </c:pt>
                <c:pt idx="92">
                  <c:v>2790.503999999999</c:v>
                </c:pt>
                <c:pt idx="93">
                  <c:v>2818.5839999999989</c:v>
                </c:pt>
                <c:pt idx="94">
                  <c:v>2847.0959999999991</c:v>
                </c:pt>
                <c:pt idx="95">
                  <c:v>2875.8239999999992</c:v>
                </c:pt>
                <c:pt idx="96">
                  <c:v>2904.7679999999991</c:v>
                </c:pt>
                <c:pt idx="97">
                  <c:v>2923.0199999999991</c:v>
                </c:pt>
                <c:pt idx="98">
                  <c:v>2923.0199999999991</c:v>
                </c:pt>
                <c:pt idx="99">
                  <c:v>2923.0199999999991</c:v>
                </c:pt>
                <c:pt idx="100">
                  <c:v>2923.0199999999991</c:v>
                </c:pt>
                <c:pt idx="101">
                  <c:v>2923.0199999999991</c:v>
                </c:pt>
                <c:pt idx="102">
                  <c:v>2920.8599999999992</c:v>
                </c:pt>
                <c:pt idx="103">
                  <c:v>2898.6119999999992</c:v>
                </c:pt>
                <c:pt idx="104">
                  <c:v>2876.1479999999992</c:v>
                </c:pt>
                <c:pt idx="105">
                  <c:v>2853.4679999999989</c:v>
                </c:pt>
                <c:pt idx="106">
                  <c:v>2830.5719999999992</c:v>
                </c:pt>
                <c:pt idx="107">
                  <c:v>2807.4599999999991</c:v>
                </c:pt>
                <c:pt idx="108">
                  <c:v>2784.1319999999987</c:v>
                </c:pt>
                <c:pt idx="109">
                  <c:v>2760.5879999999993</c:v>
                </c:pt>
                <c:pt idx="110">
                  <c:v>2736.8279999999991</c:v>
                </c:pt>
                <c:pt idx="111">
                  <c:v>2703.9959999999992</c:v>
                </c:pt>
                <c:pt idx="112">
                  <c:v>2655.6119999999992</c:v>
                </c:pt>
                <c:pt idx="113">
                  <c:v>2606.7959999999989</c:v>
                </c:pt>
                <c:pt idx="114">
                  <c:v>2557.5479999999989</c:v>
                </c:pt>
                <c:pt idx="115">
                  <c:v>2507.867999999999</c:v>
                </c:pt>
                <c:pt idx="116">
                  <c:v>2457.7559999999994</c:v>
                </c:pt>
                <c:pt idx="117">
                  <c:v>2407.2119999999991</c:v>
                </c:pt>
                <c:pt idx="118">
                  <c:v>2356.2359999999994</c:v>
                </c:pt>
                <c:pt idx="119">
                  <c:v>2304.8279999999991</c:v>
                </c:pt>
                <c:pt idx="120">
                  <c:v>2252.9879999999989</c:v>
                </c:pt>
                <c:pt idx="121">
                  <c:v>2200.7159999999994</c:v>
                </c:pt>
                <c:pt idx="122">
                  <c:v>2148.0119999999993</c:v>
                </c:pt>
                <c:pt idx="123">
                  <c:v>2094.8759999999993</c:v>
                </c:pt>
                <c:pt idx="124">
                  <c:v>2041.3079999999993</c:v>
                </c:pt>
                <c:pt idx="125">
                  <c:v>1987.3079999999993</c:v>
                </c:pt>
                <c:pt idx="126">
                  <c:v>1951.0199999999993</c:v>
                </c:pt>
                <c:pt idx="127">
                  <c:v>1951.0199999999993</c:v>
                </c:pt>
                <c:pt idx="128">
                  <c:v>1951.0199999999993</c:v>
                </c:pt>
                <c:pt idx="129">
                  <c:v>1951.0199999999993</c:v>
                </c:pt>
                <c:pt idx="130">
                  <c:v>1951.0199999999993</c:v>
                </c:pt>
                <c:pt idx="131">
                  <c:v>1951.0199999999993</c:v>
                </c:pt>
                <c:pt idx="132">
                  <c:v>1951.0199999999993</c:v>
                </c:pt>
                <c:pt idx="133">
                  <c:v>1951.0199999999993</c:v>
                </c:pt>
                <c:pt idx="134">
                  <c:v>1965.5999999999992</c:v>
                </c:pt>
                <c:pt idx="135">
                  <c:v>2009.3399999999992</c:v>
                </c:pt>
                <c:pt idx="136">
                  <c:v>2053.4039999999995</c:v>
                </c:pt>
                <c:pt idx="137">
                  <c:v>2097.7919999999995</c:v>
                </c:pt>
                <c:pt idx="138">
                  <c:v>2142.5039999999995</c:v>
                </c:pt>
                <c:pt idx="139">
                  <c:v>2187.5399999999991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448992"/>
        <c:axId val="365450040"/>
      </c:scatterChart>
      <c:valAx>
        <c:axId val="3654489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 cap="none" baseline="0">
                    <a:solidFill>
                      <a:sysClr val="windowText" lastClr="000000"/>
                    </a:solidFill>
                  </a:rPr>
                  <a:t>Altitude (km</a:t>
                </a:r>
                <a:r>
                  <a:rPr lang="pt-BR" sz="2400" b="1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450040"/>
        <c:crossesAt val="1.0000000000000002E-2"/>
        <c:crossBetween val="midCat"/>
      </c:valAx>
      <c:valAx>
        <c:axId val="365450040"/>
        <c:scaling>
          <c:logBase val="10"/>
          <c:orientation val="minMax"/>
          <c:max val="1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 cap="none" baseline="0">
                    <a:solidFill>
                      <a:sysClr val="windowText" lastClr="000000"/>
                    </a:solidFill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1.5771429352016753E-2"/>
              <c:y val="0.27471413178615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448992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0803531558330022"/>
          <c:y val="0.10565752175714878"/>
          <c:w val="0.14270556386844185"/>
          <c:h val="0.3733526730211355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/>
  </sheetView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2000" cy="6016625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0.15538</cdr:x>
      <cdr:y>0.18501</cdr:y>
    </cdr:from>
    <cdr:to>
      <cdr:x>0.97029</cdr:x>
      <cdr:y>0.46886</cdr:y>
    </cdr:to>
    <cdr:sp macro="" textlink="">
      <cdr:nvSpPr>
        <cdr:cNvPr id="2" name="Retângulo 1"/>
        <cdr:cNvSpPr/>
      </cdr:nvSpPr>
      <cdr:spPr>
        <a:xfrm xmlns:a="http://schemas.openxmlformats.org/drawingml/2006/main">
          <a:off x="1501459" y="1116096"/>
          <a:ext cx="7874485" cy="1712320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65000"/>
            <a:lumOff val="35000"/>
            <a:alpha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1974" cy="6015789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0.15613</cdr:x>
      <cdr:y>0.28582</cdr:y>
    </cdr:from>
    <cdr:to>
      <cdr:x>0.97025</cdr:x>
      <cdr:y>0.62201</cdr:y>
    </cdr:to>
    <cdr:sp macro="" textlink="">
      <cdr:nvSpPr>
        <cdr:cNvPr id="2" name="Retângulo 1"/>
        <cdr:cNvSpPr/>
      </cdr:nvSpPr>
      <cdr:spPr>
        <a:xfrm xmlns:a="http://schemas.openxmlformats.org/drawingml/2006/main">
          <a:off x="1508704" y="1724234"/>
          <a:ext cx="7866816" cy="20280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65000"/>
            <a:lumOff val="35000"/>
            <a:alpha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queryTables/queryTable1.xml><?xml version="1.0" encoding="utf-8"?>
<queryTable xmlns="http://schemas.openxmlformats.org/spreadsheetml/2006/main" name="Atmosphe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142"/>
  <sheetViews>
    <sheetView topLeftCell="A67" workbookViewId="0">
      <selection activeCell="B19" sqref="B19"/>
    </sheetView>
  </sheetViews>
  <sheetFormatPr defaultRowHeight="15" x14ac:dyDescent="0.25"/>
  <cols>
    <col min="3" max="3" width="11.42578125" bestFit="1" customWidth="1"/>
    <col min="4" max="4" width="11.42578125" customWidth="1"/>
    <col min="5" max="5" width="11.42578125" bestFit="1" customWidth="1"/>
    <col min="6" max="6" width="15.85546875" bestFit="1" customWidth="1"/>
    <col min="7" max="7" width="15.85546875" customWidth="1"/>
    <col min="8" max="8" width="17.7109375" bestFit="1" customWidth="1"/>
    <col min="9" max="9" width="14.85546875" bestFit="1" customWidth="1"/>
    <col min="10" max="10" width="14.85546875" customWidth="1"/>
    <col min="11" max="11" width="17" bestFit="1" customWidth="1"/>
  </cols>
  <sheetData>
    <row r="1" spans="3:18" x14ac:dyDescent="0.25">
      <c r="C1" s="17" t="s">
        <v>0</v>
      </c>
      <c r="D1" s="17"/>
      <c r="E1" s="1"/>
      <c r="F1" s="1"/>
      <c r="G1" s="1"/>
      <c r="H1" s="1"/>
      <c r="I1" s="17" t="s">
        <v>1</v>
      </c>
      <c r="J1" s="17"/>
      <c r="K1" s="1"/>
      <c r="L1" s="17" t="s">
        <v>2</v>
      </c>
      <c r="M1" s="17"/>
      <c r="N1" s="17"/>
      <c r="O1" s="17"/>
      <c r="P1" s="17"/>
      <c r="Q1" s="17" t="s">
        <v>3</v>
      </c>
      <c r="R1" s="17"/>
    </row>
    <row r="2" spans="3:18" x14ac:dyDescent="0.25"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>
        <v>1</v>
      </c>
      <c r="M2" s="2">
        <v>2</v>
      </c>
      <c r="N2" s="2">
        <v>4</v>
      </c>
      <c r="O2" s="2">
        <v>6</v>
      </c>
      <c r="P2" s="2">
        <v>8</v>
      </c>
      <c r="Q2" s="2">
        <v>1000</v>
      </c>
      <c r="R2" s="2">
        <v>2700</v>
      </c>
    </row>
    <row r="3" spans="3:18" x14ac:dyDescent="0.25">
      <c r="C3" s="2">
        <v>0</v>
      </c>
      <c r="D3" s="2">
        <f>C3/1000</f>
        <v>0</v>
      </c>
      <c r="E3" s="2">
        <v>101342</v>
      </c>
      <c r="F3" s="3">
        <v>15</v>
      </c>
      <c r="G3" s="3">
        <f>F3+273.15</f>
        <v>288.14999999999998</v>
      </c>
      <c r="H3" s="4">
        <v>1.2250000000000001</v>
      </c>
      <c r="I3" s="2">
        <v>340.36</v>
      </c>
      <c r="J3" s="5">
        <f>I3*3.6</f>
        <v>1225.296</v>
      </c>
      <c r="K3" s="2">
        <v>1.80074</v>
      </c>
      <c r="L3" s="5">
        <f>J3*$L$2</f>
        <v>1225.296</v>
      </c>
      <c r="M3" s="5">
        <f>J3*$M$2</f>
        <v>2450.5920000000001</v>
      </c>
      <c r="N3" s="5">
        <f>J3*$N$2</f>
        <v>4901.1840000000002</v>
      </c>
      <c r="O3" s="5">
        <f>J3*$O$2</f>
        <v>7351.7759999999998</v>
      </c>
      <c r="P3" s="5">
        <f>J3*$P$2</f>
        <v>9802.3680000000004</v>
      </c>
      <c r="Q3" s="5">
        <f>SQRT(($Q$2/G3-1)*2/(1.4-1))*J3</f>
        <v>4306.3661260005747</v>
      </c>
      <c r="R3" s="5">
        <f>SQRT(($R$2/G3-1)*2/(1.4-1))*J3</f>
        <v>7926.6896189318531</v>
      </c>
    </row>
    <row r="4" spans="3:18" x14ac:dyDescent="0.25">
      <c r="C4" s="2">
        <v>10</v>
      </c>
      <c r="D4" s="2">
        <f t="shared" ref="D4:D67" si="0">C4/1000</f>
        <v>0.01</v>
      </c>
      <c r="E4" s="2">
        <v>101222</v>
      </c>
      <c r="F4" s="3">
        <v>14.93</v>
      </c>
      <c r="G4" s="3">
        <f t="shared" ref="G4:G67" si="1">F4+273.15</f>
        <v>288.08</v>
      </c>
      <c r="H4" s="4">
        <v>1.2238199999999999</v>
      </c>
      <c r="I4" s="2">
        <v>340.32</v>
      </c>
      <c r="J4" s="5">
        <f t="shared" ref="J4:J67" si="2">I4*3.6</f>
        <v>1225.152</v>
      </c>
      <c r="K4" s="2">
        <v>1.8004199999999999</v>
      </c>
      <c r="L4" s="5">
        <f t="shared" ref="L4:L67" si="3">J4*$L$2</f>
        <v>1225.152</v>
      </c>
      <c r="M4" s="5">
        <f t="shared" ref="M4:M67" si="4">J4*$M$2</f>
        <v>2450.3040000000001</v>
      </c>
      <c r="N4" s="5">
        <f t="shared" ref="N4:N67" si="5">J4*$N$2</f>
        <v>4900.6080000000002</v>
      </c>
      <c r="O4" s="5">
        <f t="shared" ref="O4:O67" si="6">J4*$O$2</f>
        <v>7350.9120000000003</v>
      </c>
      <c r="P4" s="5">
        <f t="shared" ref="P4:P67" si="7">J4*$P$2</f>
        <v>9801.2160000000003</v>
      </c>
      <c r="Q4" s="5">
        <f t="shared" ref="Q4:Q67" si="8">SQRT(($Q$2/G4-1)*2/(1.4-1))*J4</f>
        <v>4306.5948646518436</v>
      </c>
      <c r="R4" s="5">
        <f t="shared" ref="R4:R67" si="9">SQRT(($R$2/G4-1)*2/(1.4-1))*J4</f>
        <v>7926.8359565874207</v>
      </c>
    </row>
    <row r="5" spans="3:18" x14ac:dyDescent="0.25">
      <c r="C5" s="2">
        <v>30</v>
      </c>
      <c r="D5" s="2">
        <f t="shared" si="0"/>
        <v>0.03</v>
      </c>
      <c r="E5" s="2">
        <v>100982</v>
      </c>
      <c r="F5" s="3">
        <v>14.8</v>
      </c>
      <c r="G5" s="3">
        <f t="shared" si="1"/>
        <v>287.95</v>
      </c>
      <c r="H5" s="4">
        <v>1.2214799999999999</v>
      </c>
      <c r="I5" s="2">
        <v>340.24</v>
      </c>
      <c r="J5" s="5">
        <f t="shared" si="2"/>
        <v>1224.864</v>
      </c>
      <c r="K5" s="2">
        <v>1.7997799999999999</v>
      </c>
      <c r="L5" s="5">
        <f t="shared" si="3"/>
        <v>1224.864</v>
      </c>
      <c r="M5" s="5">
        <f t="shared" si="4"/>
        <v>2449.7280000000001</v>
      </c>
      <c r="N5" s="5">
        <f t="shared" si="5"/>
        <v>4899.4560000000001</v>
      </c>
      <c r="O5" s="5">
        <f t="shared" si="6"/>
        <v>7349.1840000000002</v>
      </c>
      <c r="P5" s="5">
        <f t="shared" si="7"/>
        <v>9798.9120000000003</v>
      </c>
      <c r="Q5" s="5">
        <f t="shared" si="8"/>
        <v>4306.9474869071901</v>
      </c>
      <c r="R5" s="5">
        <f t="shared" si="9"/>
        <v>7926.9749227338698</v>
      </c>
    </row>
    <row r="6" spans="3:18" x14ac:dyDescent="0.25">
      <c r="C6" s="2">
        <v>60</v>
      </c>
      <c r="D6" s="2">
        <f t="shared" si="0"/>
        <v>0.06</v>
      </c>
      <c r="E6" s="2">
        <v>100623</v>
      </c>
      <c r="F6" s="3">
        <v>14.61</v>
      </c>
      <c r="G6" s="3">
        <f t="shared" si="1"/>
        <v>287.76</v>
      </c>
      <c r="H6" s="4">
        <v>1.2179599999999999</v>
      </c>
      <c r="I6" s="2">
        <v>340.13</v>
      </c>
      <c r="J6" s="5">
        <f t="shared" si="2"/>
        <v>1224.4680000000001</v>
      </c>
      <c r="K6" s="2">
        <v>1.7988200000000001</v>
      </c>
      <c r="L6" s="5">
        <f t="shared" si="3"/>
        <v>1224.4680000000001</v>
      </c>
      <c r="M6" s="5">
        <f t="shared" si="4"/>
        <v>2448.9360000000001</v>
      </c>
      <c r="N6" s="5">
        <f t="shared" si="5"/>
        <v>4897.8720000000003</v>
      </c>
      <c r="O6" s="5">
        <f t="shared" si="6"/>
        <v>7346.8080000000009</v>
      </c>
      <c r="P6" s="5">
        <f t="shared" si="7"/>
        <v>9795.7440000000006</v>
      </c>
      <c r="Q6" s="5">
        <f t="shared" si="8"/>
        <v>4307.5508188459089</v>
      </c>
      <c r="R6" s="5">
        <f t="shared" si="9"/>
        <v>7927.3400305173091</v>
      </c>
    </row>
    <row r="7" spans="3:18" x14ac:dyDescent="0.25">
      <c r="C7" s="2">
        <v>100</v>
      </c>
      <c r="D7" s="2">
        <f t="shared" si="0"/>
        <v>0.1</v>
      </c>
      <c r="E7" s="2">
        <v>100146</v>
      </c>
      <c r="F7" s="3">
        <v>14.35</v>
      </c>
      <c r="G7" s="3">
        <f t="shared" si="1"/>
        <v>287.5</v>
      </c>
      <c r="H7" s="4">
        <v>1.21329</v>
      </c>
      <c r="I7" s="2">
        <v>339.98</v>
      </c>
      <c r="J7" s="5">
        <f t="shared" si="2"/>
        <v>1223.9280000000001</v>
      </c>
      <c r="K7" s="2">
        <v>1.7975399999999999</v>
      </c>
      <c r="L7" s="5">
        <f t="shared" si="3"/>
        <v>1223.9280000000001</v>
      </c>
      <c r="M7" s="5">
        <f t="shared" si="4"/>
        <v>2447.8560000000002</v>
      </c>
      <c r="N7" s="5">
        <f t="shared" si="5"/>
        <v>4895.7120000000004</v>
      </c>
      <c r="O7" s="5">
        <f t="shared" si="6"/>
        <v>7343.5680000000011</v>
      </c>
      <c r="P7" s="5">
        <f t="shared" si="7"/>
        <v>9791.4240000000009</v>
      </c>
      <c r="Q7" s="5">
        <f t="shared" si="8"/>
        <v>4308.3837810838177</v>
      </c>
      <c r="R7" s="5">
        <f t="shared" si="9"/>
        <v>7927.8533690937093</v>
      </c>
    </row>
    <row r="8" spans="3:18" x14ac:dyDescent="0.25">
      <c r="C8" s="2">
        <v>150</v>
      </c>
      <c r="D8" s="2">
        <f t="shared" si="0"/>
        <v>0.15</v>
      </c>
      <c r="E8" s="2">
        <v>99553</v>
      </c>
      <c r="F8" s="3">
        <v>14.02</v>
      </c>
      <c r="G8" s="3">
        <f t="shared" si="1"/>
        <v>287.16999999999996</v>
      </c>
      <c r="H8" s="4">
        <v>1.20746</v>
      </c>
      <c r="I8" s="2">
        <v>339.79</v>
      </c>
      <c r="J8" s="5">
        <f t="shared" si="2"/>
        <v>1223.2440000000001</v>
      </c>
      <c r="K8" s="2">
        <v>1.7959499999999999</v>
      </c>
      <c r="L8" s="5">
        <f t="shared" si="3"/>
        <v>1223.2440000000001</v>
      </c>
      <c r="M8" s="5">
        <f t="shared" si="4"/>
        <v>2446.4880000000003</v>
      </c>
      <c r="N8" s="5">
        <f t="shared" si="5"/>
        <v>4892.9760000000006</v>
      </c>
      <c r="O8" s="5">
        <f t="shared" si="6"/>
        <v>7339.4640000000009</v>
      </c>
      <c r="P8" s="5">
        <f t="shared" si="7"/>
        <v>9785.9520000000011</v>
      </c>
      <c r="Q8" s="5">
        <f t="shared" si="8"/>
        <v>4309.4470291593161</v>
      </c>
      <c r="R8" s="5">
        <f t="shared" si="9"/>
        <v>7928.516317212644</v>
      </c>
    </row>
    <row r="9" spans="3:18" x14ac:dyDescent="0.25">
      <c r="C9" s="2">
        <v>210</v>
      </c>
      <c r="D9" s="2">
        <f t="shared" si="0"/>
        <v>0.21</v>
      </c>
      <c r="E9" s="2">
        <v>98844</v>
      </c>
      <c r="F9" s="3">
        <v>13.63</v>
      </c>
      <c r="G9" s="3">
        <f t="shared" si="1"/>
        <v>286.77999999999997</v>
      </c>
      <c r="H9" s="4">
        <v>1.2004999999999999</v>
      </c>
      <c r="I9" s="2">
        <v>339.56</v>
      </c>
      <c r="J9" s="5">
        <f t="shared" si="2"/>
        <v>1222.4159999999999</v>
      </c>
      <c r="K9" s="2">
        <v>1.79403</v>
      </c>
      <c r="L9" s="5">
        <f t="shared" si="3"/>
        <v>1222.4159999999999</v>
      </c>
      <c r="M9" s="5">
        <f t="shared" si="4"/>
        <v>2444.8319999999999</v>
      </c>
      <c r="N9" s="5">
        <f t="shared" si="5"/>
        <v>4889.6639999999998</v>
      </c>
      <c r="O9" s="5">
        <f t="shared" si="6"/>
        <v>7334.4959999999992</v>
      </c>
      <c r="P9" s="5">
        <f t="shared" si="7"/>
        <v>9779.3279999999995</v>
      </c>
      <c r="Q9" s="5">
        <f t="shared" si="8"/>
        <v>4310.6360258607929</v>
      </c>
      <c r="R9" s="5">
        <f t="shared" si="9"/>
        <v>7929.1759605326015</v>
      </c>
    </row>
    <row r="10" spans="3:18" x14ac:dyDescent="0.25">
      <c r="C10" s="2">
        <v>280</v>
      </c>
      <c r="D10" s="2">
        <f t="shared" si="0"/>
        <v>0.28000000000000003</v>
      </c>
      <c r="E10" s="2">
        <v>98023</v>
      </c>
      <c r="F10" s="3">
        <v>13.18</v>
      </c>
      <c r="G10" s="3">
        <f t="shared" si="1"/>
        <v>286.33</v>
      </c>
      <c r="H10" s="4">
        <v>1.19241</v>
      </c>
      <c r="I10" s="2">
        <v>339.29</v>
      </c>
      <c r="J10" s="5">
        <f t="shared" si="2"/>
        <v>1221.4440000000002</v>
      </c>
      <c r="K10" s="2">
        <v>1.79179</v>
      </c>
      <c r="L10" s="5">
        <f t="shared" si="3"/>
        <v>1221.4440000000002</v>
      </c>
      <c r="M10" s="5">
        <f t="shared" si="4"/>
        <v>2442.8880000000004</v>
      </c>
      <c r="N10" s="5">
        <f t="shared" si="5"/>
        <v>4885.7760000000007</v>
      </c>
      <c r="O10" s="5">
        <f t="shared" si="6"/>
        <v>7328.6640000000007</v>
      </c>
      <c r="P10" s="5">
        <f t="shared" si="7"/>
        <v>9771.5520000000015</v>
      </c>
      <c r="Q10" s="5">
        <f t="shared" si="8"/>
        <v>4311.9513928792512</v>
      </c>
      <c r="R10" s="5">
        <f t="shared" si="9"/>
        <v>7929.8337487585413</v>
      </c>
    </row>
    <row r="11" spans="3:18" x14ac:dyDescent="0.25">
      <c r="C11" s="2">
        <v>360</v>
      </c>
      <c r="D11" s="2">
        <f t="shared" si="0"/>
        <v>0.36</v>
      </c>
      <c r="E11" s="2">
        <v>97091</v>
      </c>
      <c r="F11" s="3">
        <v>12.66</v>
      </c>
      <c r="G11" s="3">
        <f t="shared" si="1"/>
        <v>285.81</v>
      </c>
      <c r="H11" s="4">
        <v>1.18323</v>
      </c>
      <c r="I11" s="2">
        <v>338.98</v>
      </c>
      <c r="J11" s="5">
        <f t="shared" si="2"/>
        <v>1220.3280000000002</v>
      </c>
      <c r="K11" s="2">
        <v>1.7892300000000001</v>
      </c>
      <c r="L11" s="5">
        <f t="shared" si="3"/>
        <v>1220.3280000000002</v>
      </c>
      <c r="M11" s="5">
        <f t="shared" si="4"/>
        <v>2440.6560000000004</v>
      </c>
      <c r="N11" s="5">
        <f t="shared" si="5"/>
        <v>4881.3120000000008</v>
      </c>
      <c r="O11" s="5">
        <f t="shared" si="6"/>
        <v>7321.9680000000008</v>
      </c>
      <c r="P11" s="5">
        <f t="shared" si="7"/>
        <v>9762.6240000000016</v>
      </c>
      <c r="Q11" s="5">
        <f t="shared" si="8"/>
        <v>4313.4994877721283</v>
      </c>
      <c r="R11" s="5">
        <f t="shared" si="9"/>
        <v>7930.6464918184411</v>
      </c>
    </row>
    <row r="12" spans="3:18" x14ac:dyDescent="0.25">
      <c r="C12" s="2">
        <v>450</v>
      </c>
      <c r="D12" s="2">
        <f t="shared" si="0"/>
        <v>0.45</v>
      </c>
      <c r="E12" s="2">
        <v>96051</v>
      </c>
      <c r="F12" s="3">
        <v>12.07</v>
      </c>
      <c r="G12" s="3">
        <f t="shared" si="1"/>
        <v>285.21999999999997</v>
      </c>
      <c r="H12" s="4">
        <v>1.17296</v>
      </c>
      <c r="I12" s="2">
        <v>338.64</v>
      </c>
      <c r="J12" s="5">
        <f t="shared" si="2"/>
        <v>1219.104</v>
      </c>
      <c r="K12" s="2">
        <v>1.7863500000000001</v>
      </c>
      <c r="L12" s="5">
        <f t="shared" si="3"/>
        <v>1219.104</v>
      </c>
      <c r="M12" s="5">
        <f t="shared" si="4"/>
        <v>2438.2080000000001</v>
      </c>
      <c r="N12" s="5">
        <f t="shared" si="5"/>
        <v>4876.4160000000002</v>
      </c>
      <c r="O12" s="5">
        <f t="shared" si="6"/>
        <v>7314.6239999999998</v>
      </c>
      <c r="P12" s="5">
        <f t="shared" si="7"/>
        <v>9752.8320000000003</v>
      </c>
      <c r="Q12" s="5">
        <f t="shared" si="8"/>
        <v>4315.4090371123575</v>
      </c>
      <c r="R12" s="5">
        <f t="shared" si="9"/>
        <v>7931.8511527531655</v>
      </c>
    </row>
    <row r="13" spans="3:18" x14ac:dyDescent="0.25">
      <c r="C13" s="2">
        <v>550</v>
      </c>
      <c r="D13" s="2">
        <f t="shared" si="0"/>
        <v>0.55000000000000004</v>
      </c>
      <c r="E13" s="2">
        <v>94907</v>
      </c>
      <c r="F13" s="3">
        <v>11.42</v>
      </c>
      <c r="G13" s="3">
        <f t="shared" si="1"/>
        <v>284.57</v>
      </c>
      <c r="H13" s="4">
        <v>1.1616299999999999</v>
      </c>
      <c r="I13" s="2">
        <v>338.25</v>
      </c>
      <c r="J13" s="5">
        <f t="shared" si="2"/>
        <v>1217.7</v>
      </c>
      <c r="K13" s="2">
        <v>1.7831399999999999</v>
      </c>
      <c r="L13" s="5">
        <f t="shared" si="3"/>
        <v>1217.7</v>
      </c>
      <c r="M13" s="5">
        <f t="shared" si="4"/>
        <v>2435.4</v>
      </c>
      <c r="N13" s="5">
        <f t="shared" si="5"/>
        <v>4870.8</v>
      </c>
      <c r="O13" s="5">
        <f t="shared" si="6"/>
        <v>7306.2000000000007</v>
      </c>
      <c r="P13" s="5">
        <f t="shared" si="7"/>
        <v>9741.6</v>
      </c>
      <c r="Q13" s="5">
        <f t="shared" si="8"/>
        <v>4317.3208467874092</v>
      </c>
      <c r="R13" s="5">
        <f t="shared" si="9"/>
        <v>7932.826927337057</v>
      </c>
    </row>
    <row r="14" spans="3:18" x14ac:dyDescent="0.25">
      <c r="C14" s="2">
        <v>660</v>
      </c>
      <c r="D14" s="2">
        <f t="shared" si="0"/>
        <v>0.66</v>
      </c>
      <c r="E14" s="2">
        <v>93660</v>
      </c>
      <c r="F14" s="3">
        <v>10.71</v>
      </c>
      <c r="G14" s="3">
        <f t="shared" si="1"/>
        <v>283.85999999999996</v>
      </c>
      <c r="H14" s="4">
        <v>1.1492599999999999</v>
      </c>
      <c r="I14" s="2">
        <v>337.83</v>
      </c>
      <c r="J14" s="5">
        <f t="shared" si="2"/>
        <v>1216.1879999999999</v>
      </c>
      <c r="K14" s="2">
        <v>1.7796099999999999</v>
      </c>
      <c r="L14" s="5">
        <f t="shared" si="3"/>
        <v>1216.1879999999999</v>
      </c>
      <c r="M14" s="5">
        <f t="shared" si="4"/>
        <v>2432.3759999999997</v>
      </c>
      <c r="N14" s="5">
        <f t="shared" si="5"/>
        <v>4864.7519999999995</v>
      </c>
      <c r="O14" s="5">
        <f t="shared" si="6"/>
        <v>7297.1279999999988</v>
      </c>
      <c r="P14" s="5">
        <f t="shared" si="7"/>
        <v>9729.503999999999</v>
      </c>
      <c r="Q14" s="5">
        <f t="shared" si="8"/>
        <v>4319.4910936679607</v>
      </c>
      <c r="R14" s="5">
        <f t="shared" si="9"/>
        <v>7934.045094954492</v>
      </c>
    </row>
    <row r="15" spans="3:18" x14ac:dyDescent="0.25">
      <c r="C15" s="2">
        <v>780</v>
      </c>
      <c r="D15" s="2">
        <f t="shared" si="0"/>
        <v>0.78</v>
      </c>
      <c r="E15" s="2">
        <v>92316</v>
      </c>
      <c r="F15" s="3">
        <v>9.93</v>
      </c>
      <c r="G15" s="3">
        <f t="shared" si="1"/>
        <v>283.08</v>
      </c>
      <c r="H15" s="4">
        <v>1.13588</v>
      </c>
      <c r="I15" s="2">
        <v>337.37</v>
      </c>
      <c r="J15" s="5">
        <f t="shared" si="2"/>
        <v>1214.5320000000002</v>
      </c>
      <c r="K15" s="2">
        <v>1.7757499999999999</v>
      </c>
      <c r="L15" s="5">
        <f t="shared" si="3"/>
        <v>1214.5320000000002</v>
      </c>
      <c r="M15" s="5">
        <f t="shared" si="4"/>
        <v>2429.0640000000003</v>
      </c>
      <c r="N15" s="5">
        <f t="shared" si="5"/>
        <v>4858.1280000000006</v>
      </c>
      <c r="O15" s="5">
        <f t="shared" si="6"/>
        <v>7287.1920000000009</v>
      </c>
      <c r="P15" s="5">
        <f t="shared" si="7"/>
        <v>9716.2560000000012</v>
      </c>
      <c r="Q15" s="5">
        <f t="shared" si="8"/>
        <v>4321.9000467576298</v>
      </c>
      <c r="R15" s="5">
        <f t="shared" si="9"/>
        <v>7935.4307923354572</v>
      </c>
    </row>
    <row r="16" spans="3:18" x14ac:dyDescent="0.25">
      <c r="C16" s="2">
        <v>910</v>
      </c>
      <c r="D16" s="2">
        <f t="shared" si="0"/>
        <v>0.91</v>
      </c>
      <c r="E16" s="2">
        <v>90877</v>
      </c>
      <c r="F16" s="3">
        <v>9.08</v>
      </c>
      <c r="G16" s="3">
        <f t="shared" si="1"/>
        <v>282.22999999999996</v>
      </c>
      <c r="H16" s="4">
        <v>1.1215200000000001</v>
      </c>
      <c r="I16" s="2">
        <v>336.87</v>
      </c>
      <c r="J16" s="5">
        <f t="shared" si="2"/>
        <v>1212.732</v>
      </c>
      <c r="K16" s="2">
        <v>1.7715700000000001</v>
      </c>
      <c r="L16" s="5">
        <f t="shared" si="3"/>
        <v>1212.732</v>
      </c>
      <c r="M16" s="5">
        <f t="shared" si="4"/>
        <v>2425.4639999999999</v>
      </c>
      <c r="N16" s="5">
        <f t="shared" si="5"/>
        <v>4850.9279999999999</v>
      </c>
      <c r="O16" s="5">
        <f t="shared" si="6"/>
        <v>7276.3919999999998</v>
      </c>
      <c r="P16" s="5">
        <f t="shared" si="7"/>
        <v>9701.8559999999998</v>
      </c>
      <c r="Q16" s="5">
        <f t="shared" si="8"/>
        <v>4324.5498022815218</v>
      </c>
      <c r="R16" s="5">
        <f t="shared" si="9"/>
        <v>7936.9883685198583</v>
      </c>
    </row>
    <row r="17" spans="3:18" x14ac:dyDescent="0.25">
      <c r="C17" s="2">
        <v>1050</v>
      </c>
      <c r="D17" s="2">
        <f t="shared" si="0"/>
        <v>1.05</v>
      </c>
      <c r="E17" s="2">
        <v>89348</v>
      </c>
      <c r="F17" s="3">
        <v>8.17</v>
      </c>
      <c r="G17" s="3">
        <f t="shared" si="1"/>
        <v>281.32</v>
      </c>
      <c r="H17" s="4">
        <v>1.10622</v>
      </c>
      <c r="I17" s="2">
        <v>336.32</v>
      </c>
      <c r="J17" s="5">
        <f t="shared" si="2"/>
        <v>1210.752</v>
      </c>
      <c r="K17" s="2">
        <v>1.76705</v>
      </c>
      <c r="L17" s="5">
        <f t="shared" si="3"/>
        <v>1210.752</v>
      </c>
      <c r="M17" s="5">
        <f t="shared" si="4"/>
        <v>2421.5039999999999</v>
      </c>
      <c r="N17" s="5">
        <f t="shared" si="5"/>
        <v>4843.0079999999998</v>
      </c>
      <c r="O17" s="5">
        <f t="shared" si="6"/>
        <v>7264.5119999999997</v>
      </c>
      <c r="P17" s="5">
        <f t="shared" si="7"/>
        <v>9686.0159999999996</v>
      </c>
      <c r="Q17" s="5">
        <f t="shared" si="8"/>
        <v>4327.2070149280953</v>
      </c>
      <c r="R17" s="5">
        <f t="shared" si="9"/>
        <v>7938.3291020151019</v>
      </c>
    </row>
    <row r="18" spans="3:18" x14ac:dyDescent="0.25">
      <c r="C18" s="2">
        <v>1200</v>
      </c>
      <c r="D18" s="2">
        <f t="shared" si="0"/>
        <v>1.2</v>
      </c>
      <c r="E18" s="2">
        <v>87732</v>
      </c>
      <c r="F18" s="3">
        <v>7.2</v>
      </c>
      <c r="G18" s="3">
        <f t="shared" si="1"/>
        <v>280.34999999999997</v>
      </c>
      <c r="H18" s="4">
        <v>1.0900000000000001</v>
      </c>
      <c r="I18" s="2">
        <v>335.74</v>
      </c>
      <c r="J18" s="5">
        <f t="shared" si="2"/>
        <v>1208.664</v>
      </c>
      <c r="K18" s="2">
        <v>1.7622100000000001</v>
      </c>
      <c r="L18" s="5">
        <f t="shared" si="3"/>
        <v>1208.664</v>
      </c>
      <c r="M18" s="5">
        <f t="shared" si="4"/>
        <v>2417.328</v>
      </c>
      <c r="N18" s="5">
        <f t="shared" si="5"/>
        <v>4834.6559999999999</v>
      </c>
      <c r="O18" s="5">
        <f t="shared" si="6"/>
        <v>7251.9840000000004</v>
      </c>
      <c r="P18" s="5">
        <f t="shared" si="7"/>
        <v>9669.3119999999999</v>
      </c>
      <c r="Q18" s="5">
        <f t="shared" si="8"/>
        <v>4330.1303853917289</v>
      </c>
      <c r="R18" s="5">
        <f t="shared" si="9"/>
        <v>7939.9283604291013</v>
      </c>
    </row>
    <row r="19" spans="3:18" x14ac:dyDescent="0.25">
      <c r="C19" s="2">
        <v>1360</v>
      </c>
      <c r="D19" s="2">
        <f t="shared" si="0"/>
        <v>1.36</v>
      </c>
      <c r="E19" s="2">
        <v>86035</v>
      </c>
      <c r="F19" s="3">
        <v>6.16</v>
      </c>
      <c r="G19" s="3">
        <f t="shared" si="1"/>
        <v>279.31</v>
      </c>
      <c r="H19" s="4">
        <v>1.0728899999999999</v>
      </c>
      <c r="I19" s="2">
        <v>335.12</v>
      </c>
      <c r="J19" s="5">
        <f t="shared" si="2"/>
        <v>1206.432</v>
      </c>
      <c r="K19" s="2">
        <v>1.7570300000000001</v>
      </c>
      <c r="L19" s="5">
        <f t="shared" si="3"/>
        <v>1206.432</v>
      </c>
      <c r="M19" s="5">
        <f t="shared" si="4"/>
        <v>2412.864</v>
      </c>
      <c r="N19" s="5">
        <f t="shared" si="5"/>
        <v>4825.7280000000001</v>
      </c>
      <c r="O19" s="5">
        <f t="shared" si="6"/>
        <v>7238.5920000000006</v>
      </c>
      <c r="P19" s="5">
        <f t="shared" si="7"/>
        <v>9651.4560000000001</v>
      </c>
      <c r="Q19" s="5">
        <f t="shared" si="8"/>
        <v>4333.300988185425</v>
      </c>
      <c r="R19" s="5">
        <f t="shared" si="9"/>
        <v>7941.7131386538822</v>
      </c>
    </row>
    <row r="20" spans="3:18" x14ac:dyDescent="0.25">
      <c r="C20" s="2">
        <v>1530</v>
      </c>
      <c r="D20" s="2">
        <f t="shared" si="0"/>
        <v>1.53</v>
      </c>
      <c r="E20" s="2">
        <v>84262</v>
      </c>
      <c r="F20" s="3">
        <v>5.05</v>
      </c>
      <c r="G20" s="3">
        <f t="shared" si="1"/>
        <v>278.2</v>
      </c>
      <c r="H20" s="4">
        <v>1.0549500000000001</v>
      </c>
      <c r="I20" s="2">
        <v>334.46</v>
      </c>
      <c r="J20" s="5">
        <f t="shared" si="2"/>
        <v>1204.056</v>
      </c>
      <c r="K20" s="2">
        <v>1.75153</v>
      </c>
      <c r="L20" s="5">
        <f t="shared" si="3"/>
        <v>1204.056</v>
      </c>
      <c r="M20" s="5">
        <f t="shared" si="4"/>
        <v>2408.1120000000001</v>
      </c>
      <c r="N20" s="5">
        <f t="shared" si="5"/>
        <v>4816.2240000000002</v>
      </c>
      <c r="O20" s="5">
        <f t="shared" si="6"/>
        <v>7224.3360000000002</v>
      </c>
      <c r="P20" s="5">
        <f t="shared" si="7"/>
        <v>9632.4480000000003</v>
      </c>
      <c r="Q20" s="5">
        <f t="shared" si="8"/>
        <v>4336.7218127355327</v>
      </c>
      <c r="R20" s="5">
        <f t="shared" si="9"/>
        <v>7943.6895491646492</v>
      </c>
    </row>
    <row r="21" spans="3:18" x14ac:dyDescent="0.25">
      <c r="C21" s="2">
        <v>1710</v>
      </c>
      <c r="D21" s="2">
        <f t="shared" si="0"/>
        <v>1.71</v>
      </c>
      <c r="E21" s="2">
        <v>82416</v>
      </c>
      <c r="F21" s="3">
        <v>3.88</v>
      </c>
      <c r="G21" s="3">
        <f t="shared" si="1"/>
        <v>277.02999999999997</v>
      </c>
      <c r="H21" s="4">
        <v>1.0362</v>
      </c>
      <c r="I21" s="2">
        <v>333.76</v>
      </c>
      <c r="J21" s="5">
        <f t="shared" si="2"/>
        <v>1201.5360000000001</v>
      </c>
      <c r="K21" s="2">
        <v>1.7456799999999999</v>
      </c>
      <c r="L21" s="5">
        <f t="shared" si="3"/>
        <v>1201.5360000000001</v>
      </c>
      <c r="M21" s="5">
        <f t="shared" si="4"/>
        <v>2403.0720000000001</v>
      </c>
      <c r="N21" s="5">
        <f t="shared" si="5"/>
        <v>4806.1440000000002</v>
      </c>
      <c r="O21" s="5">
        <f t="shared" si="6"/>
        <v>7209.2160000000003</v>
      </c>
      <c r="P21" s="5">
        <f t="shared" si="7"/>
        <v>9612.2880000000005</v>
      </c>
      <c r="Q21" s="5">
        <f t="shared" si="8"/>
        <v>4340.2877878757945</v>
      </c>
      <c r="R21" s="5">
        <f t="shared" si="9"/>
        <v>7945.7044542502417</v>
      </c>
    </row>
    <row r="22" spans="3:18" x14ac:dyDescent="0.25">
      <c r="C22" s="2">
        <v>1900</v>
      </c>
      <c r="D22" s="2">
        <f t="shared" si="0"/>
        <v>1.9</v>
      </c>
      <c r="E22" s="2">
        <v>80504</v>
      </c>
      <c r="F22" s="3">
        <v>2.65</v>
      </c>
      <c r="G22" s="3">
        <f t="shared" si="1"/>
        <v>275.79999999999995</v>
      </c>
      <c r="H22" s="4">
        <v>1.0166900000000001</v>
      </c>
      <c r="I22" s="2">
        <v>333.02</v>
      </c>
      <c r="J22" s="5">
        <f t="shared" si="2"/>
        <v>1198.8720000000001</v>
      </c>
      <c r="K22" s="2">
        <v>1.7395</v>
      </c>
      <c r="L22" s="5">
        <f t="shared" si="3"/>
        <v>1198.8720000000001</v>
      </c>
      <c r="M22" s="5">
        <f t="shared" si="4"/>
        <v>2397.7440000000001</v>
      </c>
      <c r="N22" s="5">
        <f t="shared" si="5"/>
        <v>4795.4880000000003</v>
      </c>
      <c r="O22" s="5">
        <f t="shared" si="6"/>
        <v>7193.232</v>
      </c>
      <c r="P22" s="5">
        <f t="shared" si="7"/>
        <v>9590.9760000000006</v>
      </c>
      <c r="Q22" s="5">
        <f t="shared" si="8"/>
        <v>4344.0013218293752</v>
      </c>
      <c r="R22" s="5">
        <f t="shared" si="9"/>
        <v>7947.7630703370533</v>
      </c>
    </row>
    <row r="23" spans="3:18" x14ac:dyDescent="0.25">
      <c r="C23" s="2">
        <v>2100</v>
      </c>
      <c r="D23" s="2">
        <f t="shared" si="0"/>
        <v>2.1</v>
      </c>
      <c r="E23" s="2">
        <v>78529</v>
      </c>
      <c r="F23" s="3">
        <v>1.35</v>
      </c>
      <c r="G23" s="3">
        <f t="shared" si="1"/>
        <v>274.5</v>
      </c>
      <c r="H23" s="4">
        <v>0.99644999999999995</v>
      </c>
      <c r="I23" s="2">
        <v>332.24</v>
      </c>
      <c r="J23" s="5">
        <f t="shared" si="2"/>
        <v>1196.0640000000001</v>
      </c>
      <c r="K23" s="2">
        <v>1.73298</v>
      </c>
      <c r="L23" s="5">
        <f t="shared" si="3"/>
        <v>1196.0640000000001</v>
      </c>
      <c r="M23" s="5">
        <f t="shared" si="4"/>
        <v>2392.1280000000002</v>
      </c>
      <c r="N23" s="5">
        <f t="shared" si="5"/>
        <v>4784.2560000000003</v>
      </c>
      <c r="O23" s="5">
        <f t="shared" si="6"/>
        <v>7176.384</v>
      </c>
      <c r="P23" s="5">
        <f t="shared" si="7"/>
        <v>9568.5120000000006</v>
      </c>
      <c r="Q23" s="5">
        <f t="shared" si="8"/>
        <v>4347.9741662079605</v>
      </c>
      <c r="R23" s="5">
        <f t="shared" si="9"/>
        <v>7950.0321714976653</v>
      </c>
    </row>
    <row r="24" spans="3:18" x14ac:dyDescent="0.25">
      <c r="C24" s="2">
        <v>2310</v>
      </c>
      <c r="D24" s="2">
        <f t="shared" si="0"/>
        <v>2.31</v>
      </c>
      <c r="E24" s="2">
        <v>76499</v>
      </c>
      <c r="F24" s="3">
        <v>-0.02</v>
      </c>
      <c r="G24" s="3">
        <f t="shared" si="1"/>
        <v>273.13</v>
      </c>
      <c r="H24" s="4">
        <v>0.97553999999999996</v>
      </c>
      <c r="I24" s="2">
        <v>331.41</v>
      </c>
      <c r="J24" s="5">
        <f t="shared" si="2"/>
        <v>1193.076</v>
      </c>
      <c r="K24" s="2">
        <v>1.7261200000000001</v>
      </c>
      <c r="L24" s="5">
        <f t="shared" si="3"/>
        <v>1193.076</v>
      </c>
      <c r="M24" s="5">
        <f t="shared" si="4"/>
        <v>2386.152</v>
      </c>
      <c r="N24" s="5">
        <f t="shared" si="5"/>
        <v>4772.3040000000001</v>
      </c>
      <c r="O24" s="5">
        <f t="shared" si="6"/>
        <v>7158.4560000000001</v>
      </c>
      <c r="P24" s="5">
        <f t="shared" si="7"/>
        <v>9544.6080000000002</v>
      </c>
      <c r="Q24" s="5">
        <f t="shared" si="8"/>
        <v>4352.0791147702294</v>
      </c>
      <c r="R24" s="5">
        <f t="shared" si="9"/>
        <v>7952.2800492932784</v>
      </c>
    </row>
    <row r="25" spans="3:18" x14ac:dyDescent="0.25">
      <c r="C25" s="2">
        <v>2530</v>
      </c>
      <c r="D25" s="2">
        <f t="shared" si="0"/>
        <v>2.5299999999999998</v>
      </c>
      <c r="E25" s="2">
        <v>74418</v>
      </c>
      <c r="F25" s="3">
        <v>-1.45</v>
      </c>
      <c r="G25" s="3">
        <f t="shared" si="1"/>
        <v>271.7</v>
      </c>
      <c r="H25" s="4">
        <v>0.95399</v>
      </c>
      <c r="I25" s="2">
        <v>330.55</v>
      </c>
      <c r="J25" s="5">
        <f t="shared" si="2"/>
        <v>1189.98</v>
      </c>
      <c r="K25" s="2">
        <v>1.7189099999999999</v>
      </c>
      <c r="L25" s="5">
        <f t="shared" si="3"/>
        <v>1189.98</v>
      </c>
      <c r="M25" s="5">
        <f t="shared" si="4"/>
        <v>2379.96</v>
      </c>
      <c r="N25" s="5">
        <f t="shared" si="5"/>
        <v>4759.92</v>
      </c>
      <c r="O25" s="5">
        <f t="shared" si="6"/>
        <v>7139.88</v>
      </c>
      <c r="P25" s="5">
        <f t="shared" si="7"/>
        <v>9519.84</v>
      </c>
      <c r="Q25" s="5">
        <f t="shared" si="8"/>
        <v>4356.4727335496946</v>
      </c>
      <c r="R25" s="5">
        <f t="shared" si="9"/>
        <v>7954.8320557028273</v>
      </c>
    </row>
    <row r="26" spans="3:18" x14ac:dyDescent="0.25">
      <c r="C26" s="2">
        <v>2760</v>
      </c>
      <c r="D26" s="2">
        <f t="shared" si="0"/>
        <v>2.76</v>
      </c>
      <c r="E26" s="2">
        <v>72291</v>
      </c>
      <c r="F26" s="3">
        <v>-2.94</v>
      </c>
      <c r="G26" s="3">
        <f t="shared" si="1"/>
        <v>270.20999999999998</v>
      </c>
      <c r="H26" s="4">
        <v>0.93184999999999996</v>
      </c>
      <c r="I26" s="2">
        <v>329.64</v>
      </c>
      <c r="J26" s="5">
        <f t="shared" si="2"/>
        <v>1186.704</v>
      </c>
      <c r="K26" s="2">
        <v>1.71136</v>
      </c>
      <c r="L26" s="5">
        <f t="shared" si="3"/>
        <v>1186.704</v>
      </c>
      <c r="M26" s="5">
        <f t="shared" si="4"/>
        <v>2373.4079999999999</v>
      </c>
      <c r="N26" s="5">
        <f t="shared" si="5"/>
        <v>4746.8159999999998</v>
      </c>
      <c r="O26" s="5">
        <f t="shared" si="6"/>
        <v>7120.2240000000002</v>
      </c>
      <c r="P26" s="5">
        <f t="shared" si="7"/>
        <v>9493.6319999999996</v>
      </c>
      <c r="Q26" s="5">
        <f t="shared" si="8"/>
        <v>4360.8952380969504</v>
      </c>
      <c r="R26" s="5">
        <f t="shared" si="9"/>
        <v>7957.2145824031268</v>
      </c>
    </row>
    <row r="27" spans="3:18" x14ac:dyDescent="0.25">
      <c r="C27" s="2">
        <v>3000</v>
      </c>
      <c r="D27" s="2">
        <f t="shared" si="0"/>
        <v>3</v>
      </c>
      <c r="E27" s="2">
        <v>70124</v>
      </c>
      <c r="F27" s="3">
        <v>-4.5</v>
      </c>
      <c r="G27" s="3">
        <f t="shared" si="1"/>
        <v>268.64999999999998</v>
      </c>
      <c r="H27" s="4">
        <v>0.90917999999999999</v>
      </c>
      <c r="I27" s="2">
        <v>328.69</v>
      </c>
      <c r="J27" s="5">
        <f t="shared" si="2"/>
        <v>1183.2840000000001</v>
      </c>
      <c r="K27" s="2">
        <v>1.70346</v>
      </c>
      <c r="L27" s="5">
        <f t="shared" si="3"/>
        <v>1183.2840000000001</v>
      </c>
      <c r="M27" s="5">
        <f t="shared" si="4"/>
        <v>2366.5680000000002</v>
      </c>
      <c r="N27" s="5">
        <f t="shared" si="5"/>
        <v>4733.1360000000004</v>
      </c>
      <c r="O27" s="5">
        <f t="shared" si="6"/>
        <v>7099.7040000000006</v>
      </c>
      <c r="P27" s="5">
        <f t="shared" si="7"/>
        <v>9466.2720000000008</v>
      </c>
      <c r="Q27" s="5">
        <f t="shared" si="8"/>
        <v>4365.5926012555383</v>
      </c>
      <c r="R27" s="5">
        <f t="shared" si="9"/>
        <v>7959.8395311680861</v>
      </c>
    </row>
    <row r="28" spans="3:18" x14ac:dyDescent="0.25">
      <c r="C28" s="2">
        <v>3250</v>
      </c>
      <c r="D28" s="2">
        <f t="shared" si="0"/>
        <v>3.25</v>
      </c>
      <c r="E28" s="2">
        <v>67924</v>
      </c>
      <c r="F28" s="3">
        <v>-6.13</v>
      </c>
      <c r="G28" s="3">
        <f t="shared" si="1"/>
        <v>267.02</v>
      </c>
      <c r="H28" s="4">
        <v>0.88600999999999996</v>
      </c>
      <c r="I28" s="2">
        <v>327.7</v>
      </c>
      <c r="J28" s="5">
        <f t="shared" si="2"/>
        <v>1179.72</v>
      </c>
      <c r="K28" s="2">
        <v>1.6952</v>
      </c>
      <c r="L28" s="5">
        <f t="shared" si="3"/>
        <v>1179.72</v>
      </c>
      <c r="M28" s="5">
        <f t="shared" si="4"/>
        <v>2359.44</v>
      </c>
      <c r="N28" s="5">
        <f t="shared" si="5"/>
        <v>4718.88</v>
      </c>
      <c r="O28" s="5">
        <f t="shared" si="6"/>
        <v>7078.32</v>
      </c>
      <c r="P28" s="5">
        <f t="shared" si="7"/>
        <v>9437.76</v>
      </c>
      <c r="Q28" s="5">
        <f t="shared" si="8"/>
        <v>4370.5703069405172</v>
      </c>
      <c r="R28" s="5">
        <f t="shared" si="9"/>
        <v>7962.7176797722359</v>
      </c>
    </row>
    <row r="29" spans="3:18" x14ac:dyDescent="0.25">
      <c r="C29" s="2">
        <v>3510</v>
      </c>
      <c r="D29" s="2">
        <f t="shared" si="0"/>
        <v>3.51</v>
      </c>
      <c r="E29" s="2">
        <v>65695</v>
      </c>
      <c r="F29" s="3">
        <v>-7.82</v>
      </c>
      <c r="G29" s="3">
        <f t="shared" si="1"/>
        <v>265.33</v>
      </c>
      <c r="H29" s="4">
        <v>0.86238999999999999</v>
      </c>
      <c r="I29" s="2">
        <v>326.66000000000003</v>
      </c>
      <c r="J29" s="5">
        <f t="shared" si="2"/>
        <v>1175.9760000000001</v>
      </c>
      <c r="K29" s="2">
        <v>1.68659</v>
      </c>
      <c r="L29" s="5">
        <f t="shared" si="3"/>
        <v>1175.9760000000001</v>
      </c>
      <c r="M29" s="5">
        <f t="shared" si="4"/>
        <v>2351.9520000000002</v>
      </c>
      <c r="N29" s="5">
        <f t="shared" si="5"/>
        <v>4703.9040000000005</v>
      </c>
      <c r="O29" s="5">
        <f t="shared" si="6"/>
        <v>7055.8560000000007</v>
      </c>
      <c r="P29" s="5">
        <f t="shared" si="7"/>
        <v>9407.8080000000009</v>
      </c>
      <c r="Q29" s="5">
        <f t="shared" si="8"/>
        <v>4375.5881260228907</v>
      </c>
      <c r="R29" s="5">
        <f t="shared" si="9"/>
        <v>7965.4503393151472</v>
      </c>
    </row>
    <row r="30" spans="3:18" x14ac:dyDescent="0.25">
      <c r="C30" s="2">
        <v>3780</v>
      </c>
      <c r="D30" s="2">
        <f t="shared" si="0"/>
        <v>3.78</v>
      </c>
      <c r="E30" s="2">
        <v>63444</v>
      </c>
      <c r="F30" s="3">
        <v>-9.57</v>
      </c>
      <c r="G30" s="3">
        <f t="shared" si="1"/>
        <v>263.58</v>
      </c>
      <c r="H30" s="4">
        <v>0.83838000000000001</v>
      </c>
      <c r="I30" s="2">
        <v>325.58999999999997</v>
      </c>
      <c r="J30" s="5">
        <f t="shared" si="2"/>
        <v>1172.124</v>
      </c>
      <c r="K30" s="2">
        <v>1.6776199999999999</v>
      </c>
      <c r="L30" s="5">
        <f t="shared" si="3"/>
        <v>1172.124</v>
      </c>
      <c r="M30" s="5">
        <f t="shared" si="4"/>
        <v>2344.248</v>
      </c>
      <c r="N30" s="5">
        <f t="shared" si="5"/>
        <v>4688.4960000000001</v>
      </c>
      <c r="O30" s="5">
        <f t="shared" si="6"/>
        <v>7032.7440000000006</v>
      </c>
      <c r="P30" s="5">
        <f t="shared" si="7"/>
        <v>9376.9920000000002</v>
      </c>
      <c r="Q30" s="5">
        <f t="shared" si="8"/>
        <v>4380.9179685352847</v>
      </c>
      <c r="R30" s="5">
        <f t="shared" si="9"/>
        <v>7968.533665216667</v>
      </c>
    </row>
    <row r="31" spans="3:18" x14ac:dyDescent="0.25">
      <c r="C31" s="2">
        <v>4060</v>
      </c>
      <c r="D31" s="2">
        <f t="shared" si="0"/>
        <v>4.0599999999999996</v>
      </c>
      <c r="E31" s="2">
        <v>61175</v>
      </c>
      <c r="F31" s="3">
        <v>-11.39</v>
      </c>
      <c r="G31" s="3">
        <f t="shared" si="1"/>
        <v>261.76</v>
      </c>
      <c r="H31" s="4">
        <v>0.81401999999999997</v>
      </c>
      <c r="I31" s="2">
        <v>324.45999999999998</v>
      </c>
      <c r="J31" s="5">
        <f t="shared" si="2"/>
        <v>1168.056</v>
      </c>
      <c r="K31" s="2">
        <v>1.6682900000000001</v>
      </c>
      <c r="L31" s="5">
        <f t="shared" si="3"/>
        <v>1168.056</v>
      </c>
      <c r="M31" s="5">
        <f t="shared" si="4"/>
        <v>2336.1120000000001</v>
      </c>
      <c r="N31" s="5">
        <f t="shared" si="5"/>
        <v>4672.2240000000002</v>
      </c>
      <c r="O31" s="5">
        <f t="shared" si="6"/>
        <v>7008.3360000000002</v>
      </c>
      <c r="P31" s="5">
        <f t="shared" si="7"/>
        <v>9344.4480000000003</v>
      </c>
      <c r="Q31" s="5">
        <f t="shared" si="8"/>
        <v>4386.2745523199737</v>
      </c>
      <c r="R31" s="5">
        <f t="shared" si="9"/>
        <v>7971.4119184211286</v>
      </c>
    </row>
    <row r="32" spans="3:18" x14ac:dyDescent="0.25">
      <c r="C32" s="2">
        <v>4350</v>
      </c>
      <c r="D32" s="2">
        <f t="shared" si="0"/>
        <v>4.3499999999999996</v>
      </c>
      <c r="E32" s="2">
        <v>58895</v>
      </c>
      <c r="F32" s="3">
        <v>-13.28</v>
      </c>
      <c r="G32" s="3">
        <f t="shared" si="1"/>
        <v>259.87</v>
      </c>
      <c r="H32" s="4">
        <v>0.78937000000000002</v>
      </c>
      <c r="I32" s="2">
        <v>323.3</v>
      </c>
      <c r="J32" s="5">
        <f t="shared" si="2"/>
        <v>1163.8800000000001</v>
      </c>
      <c r="K32" s="2">
        <v>1.65859</v>
      </c>
      <c r="L32" s="5">
        <f t="shared" si="3"/>
        <v>1163.8800000000001</v>
      </c>
      <c r="M32" s="5">
        <f t="shared" si="4"/>
        <v>2327.7600000000002</v>
      </c>
      <c r="N32" s="5">
        <f t="shared" si="5"/>
        <v>4655.5200000000004</v>
      </c>
      <c r="O32" s="5">
        <f t="shared" si="6"/>
        <v>6983.2800000000007</v>
      </c>
      <c r="P32" s="5">
        <f t="shared" si="7"/>
        <v>9311.0400000000009</v>
      </c>
      <c r="Q32" s="5">
        <f t="shared" si="8"/>
        <v>4392.0688383607485</v>
      </c>
      <c r="R32" s="5">
        <f t="shared" si="9"/>
        <v>7974.8333525427815</v>
      </c>
    </row>
    <row r="33" spans="3:18" x14ac:dyDescent="0.25">
      <c r="C33" s="2">
        <v>4650</v>
      </c>
      <c r="D33" s="2">
        <f t="shared" si="0"/>
        <v>4.6500000000000004</v>
      </c>
      <c r="E33" s="2">
        <v>56610</v>
      </c>
      <c r="F33" s="3">
        <v>-15.23</v>
      </c>
      <c r="G33" s="3">
        <f t="shared" si="1"/>
        <v>257.91999999999996</v>
      </c>
      <c r="H33" s="4">
        <v>0.76446999999999998</v>
      </c>
      <c r="I33" s="2">
        <v>322.08</v>
      </c>
      <c r="J33" s="5">
        <f t="shared" si="2"/>
        <v>1159.4880000000001</v>
      </c>
      <c r="K33" s="2">
        <v>1.6485300000000001</v>
      </c>
      <c r="L33" s="5">
        <f t="shared" si="3"/>
        <v>1159.4880000000001</v>
      </c>
      <c r="M33" s="5">
        <f t="shared" si="4"/>
        <v>2318.9760000000001</v>
      </c>
      <c r="N33" s="5">
        <f t="shared" si="5"/>
        <v>4637.9520000000002</v>
      </c>
      <c r="O33" s="5">
        <f t="shared" si="6"/>
        <v>6956.9279999999999</v>
      </c>
      <c r="P33" s="5">
        <f t="shared" si="7"/>
        <v>9275.9040000000005</v>
      </c>
      <c r="Q33" s="5">
        <f t="shared" si="8"/>
        <v>4397.7862176698809</v>
      </c>
      <c r="R33" s="5">
        <f t="shared" si="9"/>
        <v>7977.9019392511536</v>
      </c>
    </row>
    <row r="34" spans="3:18" x14ac:dyDescent="0.25">
      <c r="C34" s="2">
        <v>4960</v>
      </c>
      <c r="D34" s="2">
        <f t="shared" si="0"/>
        <v>4.96</v>
      </c>
      <c r="E34" s="2">
        <v>54324</v>
      </c>
      <c r="F34" s="3">
        <v>-17.239999999999998</v>
      </c>
      <c r="G34" s="3">
        <f t="shared" si="1"/>
        <v>255.90999999999997</v>
      </c>
      <c r="H34" s="4">
        <v>0.73938000000000004</v>
      </c>
      <c r="I34" s="2">
        <v>320.83</v>
      </c>
      <c r="J34" s="5">
        <f t="shared" si="2"/>
        <v>1154.9880000000001</v>
      </c>
      <c r="K34" s="2">
        <v>1.63808</v>
      </c>
      <c r="L34" s="5">
        <f t="shared" si="3"/>
        <v>1154.9880000000001</v>
      </c>
      <c r="M34" s="5">
        <f t="shared" si="4"/>
        <v>2309.9760000000001</v>
      </c>
      <c r="N34" s="5">
        <f t="shared" si="5"/>
        <v>4619.9520000000002</v>
      </c>
      <c r="O34" s="5">
        <f t="shared" si="6"/>
        <v>6929.9279999999999</v>
      </c>
      <c r="P34" s="5">
        <f t="shared" si="7"/>
        <v>9239.9040000000005</v>
      </c>
      <c r="Q34" s="5">
        <f t="shared" si="8"/>
        <v>4403.8404865386592</v>
      </c>
      <c r="R34" s="5">
        <f t="shared" si="9"/>
        <v>7981.3699741706023</v>
      </c>
    </row>
    <row r="35" spans="3:18" x14ac:dyDescent="0.25">
      <c r="C35" s="2">
        <v>5280</v>
      </c>
      <c r="D35" s="2">
        <f t="shared" si="0"/>
        <v>5.28</v>
      </c>
      <c r="E35" s="2">
        <v>52043</v>
      </c>
      <c r="F35" s="3">
        <v>-19.32</v>
      </c>
      <c r="G35" s="3">
        <f t="shared" si="1"/>
        <v>253.82999999999998</v>
      </c>
      <c r="H35" s="4">
        <v>0.71414999999999995</v>
      </c>
      <c r="I35" s="2">
        <v>319.52</v>
      </c>
      <c r="J35" s="5">
        <f t="shared" si="2"/>
        <v>1150.2719999999999</v>
      </c>
      <c r="K35" s="2">
        <v>1.62727</v>
      </c>
      <c r="L35" s="5">
        <f t="shared" si="3"/>
        <v>1150.2719999999999</v>
      </c>
      <c r="M35" s="5">
        <f t="shared" si="4"/>
        <v>2300.5439999999999</v>
      </c>
      <c r="N35" s="5">
        <f t="shared" si="5"/>
        <v>4601.0879999999997</v>
      </c>
      <c r="O35" s="5">
        <f t="shared" si="6"/>
        <v>6901.6319999999996</v>
      </c>
      <c r="P35" s="5">
        <f t="shared" si="7"/>
        <v>9202.1759999999995</v>
      </c>
      <c r="Q35" s="5">
        <f t="shared" si="8"/>
        <v>4409.9429139934582</v>
      </c>
      <c r="R35" s="5">
        <f t="shared" si="9"/>
        <v>7984.6777512622893</v>
      </c>
    </row>
    <row r="36" spans="3:18" x14ac:dyDescent="0.25">
      <c r="C36" s="2">
        <v>5610</v>
      </c>
      <c r="D36" s="2">
        <f t="shared" si="0"/>
        <v>5.61</v>
      </c>
      <c r="E36" s="2">
        <v>49773</v>
      </c>
      <c r="F36" s="3">
        <v>-21.47</v>
      </c>
      <c r="G36" s="3">
        <f t="shared" si="1"/>
        <v>251.67999999999998</v>
      </c>
      <c r="H36" s="4">
        <v>0.68881999999999999</v>
      </c>
      <c r="I36" s="2">
        <v>318.17</v>
      </c>
      <c r="J36" s="5">
        <f t="shared" si="2"/>
        <v>1145.412</v>
      </c>
      <c r="K36" s="2">
        <v>1.6160699999999999</v>
      </c>
      <c r="L36" s="5">
        <f t="shared" si="3"/>
        <v>1145.412</v>
      </c>
      <c r="M36" s="5">
        <f t="shared" si="4"/>
        <v>2290.8240000000001</v>
      </c>
      <c r="N36" s="5">
        <f t="shared" si="5"/>
        <v>4581.6480000000001</v>
      </c>
      <c r="O36" s="5">
        <f t="shared" si="6"/>
        <v>6872.4719999999998</v>
      </c>
      <c r="P36" s="5">
        <f t="shared" si="7"/>
        <v>9163.2960000000003</v>
      </c>
      <c r="Q36" s="5">
        <f t="shared" si="8"/>
        <v>4416.3761364008951</v>
      </c>
      <c r="R36" s="5">
        <f t="shared" si="9"/>
        <v>7988.3386635699489</v>
      </c>
    </row>
    <row r="37" spans="3:18" x14ac:dyDescent="0.25">
      <c r="C37" s="2">
        <v>5950</v>
      </c>
      <c r="D37" s="2">
        <f t="shared" si="0"/>
        <v>5.95</v>
      </c>
      <c r="E37" s="2">
        <v>47519</v>
      </c>
      <c r="F37" s="3">
        <v>-23.68</v>
      </c>
      <c r="G37" s="3">
        <f t="shared" si="1"/>
        <v>249.46999999999997</v>
      </c>
      <c r="H37" s="4">
        <v>0.66344999999999998</v>
      </c>
      <c r="I37" s="2">
        <v>316.77</v>
      </c>
      <c r="J37" s="5">
        <f t="shared" si="2"/>
        <v>1140.3720000000001</v>
      </c>
      <c r="K37" s="2">
        <v>1.6044799999999999</v>
      </c>
      <c r="L37" s="5">
        <f t="shared" si="3"/>
        <v>1140.3720000000001</v>
      </c>
      <c r="M37" s="5">
        <f t="shared" si="4"/>
        <v>2280.7440000000001</v>
      </c>
      <c r="N37" s="5">
        <f t="shared" si="5"/>
        <v>4561.4880000000003</v>
      </c>
      <c r="O37" s="5">
        <f t="shared" si="6"/>
        <v>6842.232</v>
      </c>
      <c r="P37" s="5">
        <f t="shared" si="7"/>
        <v>9122.9760000000006</v>
      </c>
      <c r="Q37" s="5">
        <f t="shared" si="8"/>
        <v>4422.8927894141161</v>
      </c>
      <c r="R37" s="5">
        <f t="shared" si="9"/>
        <v>7991.9433323956146</v>
      </c>
    </row>
    <row r="38" spans="3:18" x14ac:dyDescent="0.25">
      <c r="C38" s="2">
        <v>6300</v>
      </c>
      <c r="D38" s="2">
        <f t="shared" si="0"/>
        <v>6.3</v>
      </c>
      <c r="E38" s="2">
        <v>45286</v>
      </c>
      <c r="F38" s="3">
        <v>-25.95</v>
      </c>
      <c r="G38" s="3">
        <f t="shared" si="1"/>
        <v>247.2</v>
      </c>
      <c r="H38" s="4">
        <v>0.63809000000000005</v>
      </c>
      <c r="I38" s="2">
        <v>315.33</v>
      </c>
      <c r="J38" s="5">
        <f t="shared" si="2"/>
        <v>1135.1879999999999</v>
      </c>
      <c r="K38" s="2">
        <v>1.5925</v>
      </c>
      <c r="L38" s="5">
        <f t="shared" si="3"/>
        <v>1135.1879999999999</v>
      </c>
      <c r="M38" s="5">
        <f t="shared" si="4"/>
        <v>2270.3759999999997</v>
      </c>
      <c r="N38" s="5">
        <f t="shared" si="5"/>
        <v>4540.7519999999995</v>
      </c>
      <c r="O38" s="5">
        <f t="shared" si="6"/>
        <v>6811.1279999999988</v>
      </c>
      <c r="P38" s="5">
        <f t="shared" si="7"/>
        <v>9081.503999999999</v>
      </c>
      <c r="Q38" s="5">
        <f t="shared" si="8"/>
        <v>4429.6393218114554</v>
      </c>
      <c r="R38" s="5">
        <f t="shared" si="9"/>
        <v>7995.7577794751442</v>
      </c>
    </row>
    <row r="39" spans="3:18" x14ac:dyDescent="0.25">
      <c r="C39" s="2">
        <v>6660</v>
      </c>
      <c r="D39" s="2">
        <f t="shared" si="0"/>
        <v>6.66</v>
      </c>
      <c r="E39" s="2">
        <v>43078</v>
      </c>
      <c r="F39" s="3">
        <v>-28.29</v>
      </c>
      <c r="G39" s="3">
        <f t="shared" si="1"/>
        <v>244.85999999999999</v>
      </c>
      <c r="H39" s="4">
        <v>0.61277999999999999</v>
      </c>
      <c r="I39" s="2">
        <v>313.83999999999997</v>
      </c>
      <c r="J39" s="5">
        <f t="shared" si="2"/>
        <v>1129.8239999999998</v>
      </c>
      <c r="K39" s="2">
        <v>1.58012</v>
      </c>
      <c r="L39" s="5">
        <f t="shared" si="3"/>
        <v>1129.8239999999998</v>
      </c>
      <c r="M39" s="5">
        <f t="shared" si="4"/>
        <v>2259.6479999999997</v>
      </c>
      <c r="N39" s="5">
        <f t="shared" si="5"/>
        <v>4519.2959999999994</v>
      </c>
      <c r="O39" s="5">
        <f t="shared" si="6"/>
        <v>6778.9439999999995</v>
      </c>
      <c r="P39" s="5">
        <f t="shared" si="7"/>
        <v>9038.5919999999987</v>
      </c>
      <c r="Q39" s="5">
        <f t="shared" si="8"/>
        <v>4436.6034570295351</v>
      </c>
      <c r="R39" s="5">
        <f t="shared" si="9"/>
        <v>7999.7240538406904</v>
      </c>
    </row>
    <row r="40" spans="3:18" x14ac:dyDescent="0.25">
      <c r="C40" s="2">
        <v>7030</v>
      </c>
      <c r="D40" s="2">
        <f t="shared" si="0"/>
        <v>7.03</v>
      </c>
      <c r="E40" s="2">
        <v>40901</v>
      </c>
      <c r="F40" s="3">
        <v>-30.7</v>
      </c>
      <c r="G40" s="3">
        <f t="shared" si="1"/>
        <v>242.45</v>
      </c>
      <c r="H40" s="4">
        <v>0.58757999999999999</v>
      </c>
      <c r="I40" s="2">
        <v>312.29000000000002</v>
      </c>
      <c r="J40" s="5">
        <f t="shared" si="2"/>
        <v>1124.2440000000001</v>
      </c>
      <c r="K40" s="2">
        <v>1.56734</v>
      </c>
      <c r="L40" s="5">
        <f t="shared" si="3"/>
        <v>1124.2440000000001</v>
      </c>
      <c r="M40" s="5">
        <f t="shared" si="4"/>
        <v>2248.4880000000003</v>
      </c>
      <c r="N40" s="5">
        <f t="shared" si="5"/>
        <v>4496.9760000000006</v>
      </c>
      <c r="O40" s="5">
        <f t="shared" si="6"/>
        <v>6745.4640000000009</v>
      </c>
      <c r="P40" s="5">
        <f t="shared" si="7"/>
        <v>8993.9520000000011</v>
      </c>
      <c r="Q40" s="5">
        <f t="shared" si="8"/>
        <v>4443.6529963872572</v>
      </c>
      <c r="R40" s="5">
        <f t="shared" si="9"/>
        <v>8003.605383155139</v>
      </c>
    </row>
    <row r="41" spans="3:18" x14ac:dyDescent="0.25">
      <c r="C41" s="2">
        <v>7410</v>
      </c>
      <c r="D41" s="2">
        <f t="shared" si="0"/>
        <v>7.41</v>
      </c>
      <c r="E41" s="2">
        <v>38758</v>
      </c>
      <c r="F41" s="3">
        <v>-33.17</v>
      </c>
      <c r="G41" s="3">
        <f t="shared" si="1"/>
        <v>239.97999999999996</v>
      </c>
      <c r="H41" s="4">
        <v>0.56252000000000002</v>
      </c>
      <c r="I41" s="2">
        <v>310.7</v>
      </c>
      <c r="J41" s="5">
        <f t="shared" si="2"/>
        <v>1118.52</v>
      </c>
      <c r="K41" s="2">
        <v>1.5541499999999999</v>
      </c>
      <c r="L41" s="5">
        <f t="shared" si="3"/>
        <v>1118.52</v>
      </c>
      <c r="M41" s="5">
        <f t="shared" si="4"/>
        <v>2237.04</v>
      </c>
      <c r="N41" s="5">
        <f t="shared" si="5"/>
        <v>4474.08</v>
      </c>
      <c r="O41" s="5">
        <f t="shared" si="6"/>
        <v>6711.12</v>
      </c>
      <c r="P41" s="5">
        <f t="shared" si="7"/>
        <v>8948.16</v>
      </c>
      <c r="Q41" s="5">
        <f t="shared" si="8"/>
        <v>4450.9605204991713</v>
      </c>
      <c r="R41" s="5">
        <f t="shared" si="9"/>
        <v>8007.7508213613955</v>
      </c>
    </row>
    <row r="42" spans="3:18" x14ac:dyDescent="0.25">
      <c r="C42" s="2">
        <v>7800</v>
      </c>
      <c r="D42" s="2">
        <f t="shared" si="0"/>
        <v>7.8</v>
      </c>
      <c r="E42" s="2">
        <v>36654</v>
      </c>
      <c r="F42" s="3">
        <v>-35.700000000000003</v>
      </c>
      <c r="G42" s="3">
        <f t="shared" si="1"/>
        <v>237.45</v>
      </c>
      <c r="H42" s="4">
        <v>0.53766999999999998</v>
      </c>
      <c r="I42" s="2">
        <v>309.05</v>
      </c>
      <c r="J42" s="5">
        <f t="shared" si="2"/>
        <v>1112.5800000000002</v>
      </c>
      <c r="K42" s="2">
        <v>1.5405500000000001</v>
      </c>
      <c r="L42" s="5">
        <f t="shared" si="3"/>
        <v>1112.5800000000002</v>
      </c>
      <c r="M42" s="5">
        <f t="shared" si="4"/>
        <v>2225.1600000000003</v>
      </c>
      <c r="N42" s="5">
        <f t="shared" si="5"/>
        <v>4450.3200000000006</v>
      </c>
      <c r="O42" s="5">
        <f t="shared" si="6"/>
        <v>6675.4800000000014</v>
      </c>
      <c r="P42" s="5">
        <f t="shared" si="7"/>
        <v>8900.6400000000012</v>
      </c>
      <c r="Q42" s="5">
        <f t="shared" si="8"/>
        <v>4458.2490593330031</v>
      </c>
      <c r="R42" s="5">
        <f t="shared" si="9"/>
        <v>8011.6633605024699</v>
      </c>
    </row>
    <row r="43" spans="3:18" x14ac:dyDescent="0.25">
      <c r="C43" s="2">
        <v>8200</v>
      </c>
      <c r="D43" s="2">
        <f t="shared" si="0"/>
        <v>8.1999999999999993</v>
      </c>
      <c r="E43" s="2">
        <v>34594</v>
      </c>
      <c r="F43" s="3">
        <v>-38.299999999999997</v>
      </c>
      <c r="G43" s="3">
        <f t="shared" si="1"/>
        <v>234.84999999999997</v>
      </c>
      <c r="H43" s="4">
        <v>0.51305999999999996</v>
      </c>
      <c r="I43" s="2">
        <v>307.36</v>
      </c>
      <c r="J43" s="5">
        <f t="shared" si="2"/>
        <v>1106.4960000000001</v>
      </c>
      <c r="K43" s="2">
        <v>1.5265299999999999</v>
      </c>
      <c r="L43" s="5">
        <f t="shared" si="3"/>
        <v>1106.4960000000001</v>
      </c>
      <c r="M43" s="5">
        <f t="shared" si="4"/>
        <v>2212.9920000000002</v>
      </c>
      <c r="N43" s="5">
        <f t="shared" si="5"/>
        <v>4425.9840000000004</v>
      </c>
      <c r="O43" s="5">
        <f t="shared" si="6"/>
        <v>6638.9760000000006</v>
      </c>
      <c r="P43" s="5">
        <f t="shared" si="7"/>
        <v>8851.9680000000008</v>
      </c>
      <c r="Q43" s="5">
        <f t="shared" si="8"/>
        <v>4465.9397477304365</v>
      </c>
      <c r="R43" s="5">
        <f t="shared" si="9"/>
        <v>8016.0652458113263</v>
      </c>
    </row>
    <row r="44" spans="3:18" x14ac:dyDescent="0.25">
      <c r="C44" s="2">
        <v>8610</v>
      </c>
      <c r="D44" s="2">
        <f t="shared" si="0"/>
        <v>8.61</v>
      </c>
      <c r="E44" s="2">
        <v>32580</v>
      </c>
      <c r="F44" s="3">
        <v>-40.97</v>
      </c>
      <c r="G44" s="3">
        <f t="shared" si="1"/>
        <v>232.17999999999998</v>
      </c>
      <c r="H44" s="4">
        <v>0.48875000000000002</v>
      </c>
      <c r="I44" s="2">
        <v>305.61</v>
      </c>
      <c r="J44" s="5">
        <f t="shared" si="2"/>
        <v>1100.1960000000001</v>
      </c>
      <c r="K44" s="2">
        <v>1.51207</v>
      </c>
      <c r="L44" s="5">
        <f t="shared" si="3"/>
        <v>1100.1960000000001</v>
      </c>
      <c r="M44" s="5">
        <f t="shared" si="4"/>
        <v>2200.3920000000003</v>
      </c>
      <c r="N44" s="5">
        <f t="shared" si="5"/>
        <v>4400.7840000000006</v>
      </c>
      <c r="O44" s="5">
        <f t="shared" si="6"/>
        <v>6601.1760000000013</v>
      </c>
      <c r="P44" s="5">
        <f t="shared" si="7"/>
        <v>8801.5680000000011</v>
      </c>
      <c r="Q44" s="5">
        <f t="shared" si="8"/>
        <v>4473.756790051737</v>
      </c>
      <c r="R44" s="5">
        <f t="shared" si="9"/>
        <v>8020.4622704167032</v>
      </c>
    </row>
    <row r="45" spans="3:18" x14ac:dyDescent="0.25">
      <c r="C45" s="2">
        <v>9030</v>
      </c>
      <c r="D45" s="2">
        <f t="shared" si="0"/>
        <v>9.0299999999999994</v>
      </c>
      <c r="E45" s="2">
        <v>30617</v>
      </c>
      <c r="F45" s="3">
        <v>-43.7</v>
      </c>
      <c r="G45" s="3">
        <f t="shared" si="1"/>
        <v>229.45</v>
      </c>
      <c r="H45" s="4">
        <v>0.46476000000000001</v>
      </c>
      <c r="I45" s="2">
        <v>303.81</v>
      </c>
      <c r="J45" s="5">
        <f t="shared" si="2"/>
        <v>1093.7160000000001</v>
      </c>
      <c r="K45" s="2">
        <v>1.49719</v>
      </c>
      <c r="L45" s="5">
        <f t="shared" si="3"/>
        <v>1093.7160000000001</v>
      </c>
      <c r="M45" s="5">
        <f t="shared" si="4"/>
        <v>2187.4320000000002</v>
      </c>
      <c r="N45" s="5">
        <f t="shared" si="5"/>
        <v>4374.8640000000005</v>
      </c>
      <c r="O45" s="5">
        <f t="shared" si="6"/>
        <v>6562.2960000000003</v>
      </c>
      <c r="P45" s="5">
        <f t="shared" si="7"/>
        <v>8749.728000000001</v>
      </c>
      <c r="Q45" s="5">
        <f t="shared" si="8"/>
        <v>4481.7326822231353</v>
      </c>
      <c r="R45" s="5">
        <f t="shared" si="9"/>
        <v>8024.950467624386</v>
      </c>
    </row>
    <row r="46" spans="3:18" x14ac:dyDescent="0.25">
      <c r="C46" s="2">
        <v>9460</v>
      </c>
      <c r="D46" s="2">
        <f t="shared" si="0"/>
        <v>9.4600000000000009</v>
      </c>
      <c r="E46" s="2">
        <v>28707</v>
      </c>
      <c r="F46" s="3">
        <v>-46.49</v>
      </c>
      <c r="G46" s="3">
        <f t="shared" si="1"/>
        <v>226.65999999999997</v>
      </c>
      <c r="H46" s="4">
        <v>0.44113999999999998</v>
      </c>
      <c r="I46" s="2">
        <v>301.95</v>
      </c>
      <c r="J46" s="5">
        <f t="shared" si="2"/>
        <v>1087.02</v>
      </c>
      <c r="K46" s="2">
        <v>1.48186</v>
      </c>
      <c r="L46" s="5">
        <f t="shared" si="3"/>
        <v>1087.02</v>
      </c>
      <c r="M46" s="5">
        <f t="shared" si="4"/>
        <v>2174.04</v>
      </c>
      <c r="N46" s="5">
        <f t="shared" si="5"/>
        <v>4348.08</v>
      </c>
      <c r="O46" s="5">
        <f t="shared" si="6"/>
        <v>6522.12</v>
      </c>
      <c r="P46" s="5">
        <f t="shared" si="7"/>
        <v>8696.16</v>
      </c>
      <c r="Q46" s="5">
        <f t="shared" si="8"/>
        <v>4489.7311080883273</v>
      </c>
      <c r="R46" s="5">
        <f t="shared" si="9"/>
        <v>8029.2874357147848</v>
      </c>
    </row>
    <row r="47" spans="3:18" x14ac:dyDescent="0.25">
      <c r="C47" s="2">
        <v>9900</v>
      </c>
      <c r="D47" s="2">
        <f t="shared" si="0"/>
        <v>9.9</v>
      </c>
      <c r="E47" s="2">
        <v>26854</v>
      </c>
      <c r="F47" s="3">
        <v>-49.35</v>
      </c>
      <c r="G47" s="3">
        <f t="shared" si="1"/>
        <v>223.79999999999998</v>
      </c>
      <c r="H47" s="4">
        <v>0.41793999999999998</v>
      </c>
      <c r="I47" s="2">
        <v>300.04000000000002</v>
      </c>
      <c r="J47" s="5">
        <f t="shared" si="2"/>
        <v>1080.144</v>
      </c>
      <c r="K47" s="2">
        <v>1.46607</v>
      </c>
      <c r="L47" s="5">
        <f t="shared" si="3"/>
        <v>1080.144</v>
      </c>
      <c r="M47" s="5">
        <f t="shared" si="4"/>
        <v>2160.288</v>
      </c>
      <c r="N47" s="5">
        <f t="shared" si="5"/>
        <v>4320.576</v>
      </c>
      <c r="O47" s="5">
        <f t="shared" si="6"/>
        <v>6480.8639999999996</v>
      </c>
      <c r="P47" s="5">
        <f t="shared" si="7"/>
        <v>8641.152</v>
      </c>
      <c r="Q47" s="5">
        <f t="shared" si="8"/>
        <v>4498.0412908839508</v>
      </c>
      <c r="R47" s="5">
        <f t="shared" si="9"/>
        <v>8033.9565435343102</v>
      </c>
    </row>
    <row r="48" spans="3:18" x14ac:dyDescent="0.25">
      <c r="C48" s="2">
        <v>10350</v>
      </c>
      <c r="D48" s="2">
        <f t="shared" si="0"/>
        <v>10.35</v>
      </c>
      <c r="E48" s="2">
        <v>25060</v>
      </c>
      <c r="F48" s="3">
        <v>-52.28</v>
      </c>
      <c r="G48" s="3">
        <f t="shared" si="1"/>
        <v>220.86999999999998</v>
      </c>
      <c r="H48" s="4">
        <v>0.39518999999999999</v>
      </c>
      <c r="I48" s="2">
        <v>298.07</v>
      </c>
      <c r="J48" s="5">
        <f t="shared" si="2"/>
        <v>1073.0519999999999</v>
      </c>
      <c r="K48" s="2">
        <v>1.44983</v>
      </c>
      <c r="L48" s="5">
        <f t="shared" si="3"/>
        <v>1073.0519999999999</v>
      </c>
      <c r="M48" s="5">
        <f t="shared" si="4"/>
        <v>2146.1039999999998</v>
      </c>
      <c r="N48" s="5">
        <f t="shared" si="5"/>
        <v>4292.2079999999996</v>
      </c>
      <c r="O48" s="5">
        <f t="shared" si="6"/>
        <v>6438.3119999999999</v>
      </c>
      <c r="P48" s="5">
        <f t="shared" si="7"/>
        <v>8584.4159999999993</v>
      </c>
      <c r="Q48" s="5">
        <f t="shared" si="8"/>
        <v>4506.5310572901053</v>
      </c>
      <c r="R48" s="5">
        <f t="shared" si="9"/>
        <v>8038.7228410269709</v>
      </c>
    </row>
    <row r="49" spans="3:18" x14ac:dyDescent="0.25">
      <c r="C49" s="2">
        <v>10810</v>
      </c>
      <c r="D49" s="2">
        <f t="shared" si="0"/>
        <v>10.81</v>
      </c>
      <c r="E49" s="2">
        <v>23328</v>
      </c>
      <c r="F49" s="3">
        <v>-55.27</v>
      </c>
      <c r="G49" s="3">
        <f t="shared" si="1"/>
        <v>217.87999999999997</v>
      </c>
      <c r="H49" s="4">
        <v>0.37291999999999997</v>
      </c>
      <c r="I49" s="2">
        <v>296.05</v>
      </c>
      <c r="J49" s="5">
        <f t="shared" si="2"/>
        <v>1065.78</v>
      </c>
      <c r="K49" s="2">
        <v>1.4331199999999999</v>
      </c>
      <c r="L49" s="5">
        <f t="shared" si="3"/>
        <v>1065.78</v>
      </c>
      <c r="M49" s="5">
        <f t="shared" si="4"/>
        <v>2131.56</v>
      </c>
      <c r="N49" s="5">
        <f t="shared" si="5"/>
        <v>4263.12</v>
      </c>
      <c r="O49" s="5">
        <f t="shared" si="6"/>
        <v>6394.68</v>
      </c>
      <c r="P49" s="5">
        <f t="shared" si="7"/>
        <v>8526.24</v>
      </c>
      <c r="Q49" s="5">
        <f t="shared" si="8"/>
        <v>4515.2373113725735</v>
      </c>
      <c r="R49" s="5">
        <f t="shared" si="9"/>
        <v>8043.6890238266778</v>
      </c>
    </row>
    <row r="50" spans="3:18" x14ac:dyDescent="0.25">
      <c r="C50" s="2">
        <v>11280</v>
      </c>
      <c r="D50" s="2">
        <f t="shared" si="0"/>
        <v>11.28</v>
      </c>
      <c r="E50" s="2">
        <v>21722</v>
      </c>
      <c r="F50" s="3">
        <v>-56.5</v>
      </c>
      <c r="G50" s="3">
        <f t="shared" si="1"/>
        <v>216.64999999999998</v>
      </c>
      <c r="H50" s="4">
        <v>0.34922999999999998</v>
      </c>
      <c r="I50" s="2">
        <v>295.20999999999998</v>
      </c>
      <c r="J50" s="5">
        <f t="shared" si="2"/>
        <v>1062.7559999999999</v>
      </c>
      <c r="K50" s="2">
        <v>1.4261900000000001</v>
      </c>
      <c r="L50" s="5">
        <f t="shared" si="3"/>
        <v>1062.7559999999999</v>
      </c>
      <c r="M50" s="5">
        <f t="shared" si="4"/>
        <v>2125.5119999999997</v>
      </c>
      <c r="N50" s="5">
        <f t="shared" si="5"/>
        <v>4251.0239999999994</v>
      </c>
      <c r="O50" s="5">
        <f t="shared" si="6"/>
        <v>6376.5359999999991</v>
      </c>
      <c r="P50" s="5">
        <f t="shared" si="7"/>
        <v>8502.0479999999989</v>
      </c>
      <c r="Q50" s="5">
        <f t="shared" si="8"/>
        <v>4518.7378291706</v>
      </c>
      <c r="R50" s="5">
        <f t="shared" si="9"/>
        <v>8045.5953737281025</v>
      </c>
    </row>
    <row r="51" spans="3:18" x14ac:dyDescent="0.25">
      <c r="C51" s="2">
        <v>11760</v>
      </c>
      <c r="D51" s="2">
        <f t="shared" si="0"/>
        <v>11.76</v>
      </c>
      <c r="E51" s="2">
        <v>20139</v>
      </c>
      <c r="F51" s="3">
        <v>-56.5</v>
      </c>
      <c r="G51" s="3">
        <f t="shared" si="1"/>
        <v>216.64999999999998</v>
      </c>
      <c r="H51" s="4">
        <v>0.32378000000000001</v>
      </c>
      <c r="I51" s="2">
        <v>295.20999999999998</v>
      </c>
      <c r="J51" s="5">
        <f t="shared" si="2"/>
        <v>1062.7559999999999</v>
      </c>
      <c r="K51" s="2">
        <v>1.4261900000000001</v>
      </c>
      <c r="L51" s="5">
        <f t="shared" si="3"/>
        <v>1062.7559999999999</v>
      </c>
      <c r="M51" s="5">
        <f t="shared" si="4"/>
        <v>2125.5119999999997</v>
      </c>
      <c r="N51" s="5">
        <f t="shared" si="5"/>
        <v>4251.0239999999994</v>
      </c>
      <c r="O51" s="5">
        <f t="shared" si="6"/>
        <v>6376.5359999999991</v>
      </c>
      <c r="P51" s="5">
        <f t="shared" si="7"/>
        <v>8502.0479999999989</v>
      </c>
      <c r="Q51" s="5">
        <f t="shared" si="8"/>
        <v>4518.7378291706</v>
      </c>
      <c r="R51" s="5">
        <f t="shared" si="9"/>
        <v>8045.5953737281025</v>
      </c>
    </row>
    <row r="52" spans="3:18" x14ac:dyDescent="0.25">
      <c r="C52" s="2">
        <v>12250</v>
      </c>
      <c r="D52" s="2">
        <f t="shared" si="0"/>
        <v>12.25</v>
      </c>
      <c r="E52" s="2">
        <v>18642</v>
      </c>
      <c r="F52" s="3">
        <v>-56.5</v>
      </c>
      <c r="G52" s="3">
        <f t="shared" si="1"/>
        <v>216.64999999999998</v>
      </c>
      <c r="H52" s="4">
        <v>0.29970000000000002</v>
      </c>
      <c r="I52" s="2">
        <v>295.20999999999998</v>
      </c>
      <c r="J52" s="5">
        <f t="shared" si="2"/>
        <v>1062.7559999999999</v>
      </c>
      <c r="K52" s="2">
        <v>1.4261900000000001</v>
      </c>
      <c r="L52" s="5">
        <f t="shared" si="3"/>
        <v>1062.7559999999999</v>
      </c>
      <c r="M52" s="5">
        <f t="shared" si="4"/>
        <v>2125.5119999999997</v>
      </c>
      <c r="N52" s="5">
        <f t="shared" si="5"/>
        <v>4251.0239999999994</v>
      </c>
      <c r="O52" s="5">
        <f t="shared" si="6"/>
        <v>6376.5359999999991</v>
      </c>
      <c r="P52" s="5">
        <f t="shared" si="7"/>
        <v>8502.0479999999989</v>
      </c>
      <c r="Q52" s="5">
        <f t="shared" si="8"/>
        <v>4518.7378291706</v>
      </c>
      <c r="R52" s="5">
        <f t="shared" si="9"/>
        <v>8045.5953737281025</v>
      </c>
    </row>
    <row r="53" spans="3:18" x14ac:dyDescent="0.25">
      <c r="C53" s="2">
        <v>12750</v>
      </c>
      <c r="D53" s="2">
        <f t="shared" si="0"/>
        <v>12.75</v>
      </c>
      <c r="E53" s="2">
        <v>17229</v>
      </c>
      <c r="F53" s="3">
        <v>-56.5</v>
      </c>
      <c r="G53" s="3">
        <f t="shared" si="1"/>
        <v>216.64999999999998</v>
      </c>
      <c r="H53" s="4">
        <v>0.27699000000000001</v>
      </c>
      <c r="I53" s="2">
        <v>295.20999999999998</v>
      </c>
      <c r="J53" s="5">
        <f t="shared" si="2"/>
        <v>1062.7559999999999</v>
      </c>
      <c r="K53" s="2">
        <v>1.4261900000000001</v>
      </c>
      <c r="L53" s="5">
        <f t="shared" si="3"/>
        <v>1062.7559999999999</v>
      </c>
      <c r="M53" s="5">
        <f t="shared" si="4"/>
        <v>2125.5119999999997</v>
      </c>
      <c r="N53" s="5">
        <f t="shared" si="5"/>
        <v>4251.0239999999994</v>
      </c>
      <c r="O53" s="5">
        <f t="shared" si="6"/>
        <v>6376.5359999999991</v>
      </c>
      <c r="P53" s="5">
        <f t="shared" si="7"/>
        <v>8502.0479999999989</v>
      </c>
      <c r="Q53" s="5">
        <f t="shared" si="8"/>
        <v>4518.7378291706</v>
      </c>
      <c r="R53" s="5">
        <f t="shared" si="9"/>
        <v>8045.5953737281025</v>
      </c>
    </row>
    <row r="54" spans="3:18" x14ac:dyDescent="0.25">
      <c r="C54" s="2">
        <v>13260</v>
      </c>
      <c r="D54" s="2">
        <f t="shared" si="0"/>
        <v>13.26</v>
      </c>
      <c r="E54" s="2">
        <v>15898</v>
      </c>
      <c r="F54" s="3">
        <v>-56.5</v>
      </c>
      <c r="G54" s="3">
        <f t="shared" si="1"/>
        <v>216.64999999999998</v>
      </c>
      <c r="H54" s="4">
        <v>0.25558999999999998</v>
      </c>
      <c r="I54" s="2">
        <v>295.20999999999998</v>
      </c>
      <c r="J54" s="5">
        <f t="shared" si="2"/>
        <v>1062.7559999999999</v>
      </c>
      <c r="K54" s="2">
        <v>1.4261900000000001</v>
      </c>
      <c r="L54" s="5">
        <f t="shared" si="3"/>
        <v>1062.7559999999999</v>
      </c>
      <c r="M54" s="5">
        <f t="shared" si="4"/>
        <v>2125.5119999999997</v>
      </c>
      <c r="N54" s="5">
        <f t="shared" si="5"/>
        <v>4251.0239999999994</v>
      </c>
      <c r="O54" s="5">
        <f t="shared" si="6"/>
        <v>6376.5359999999991</v>
      </c>
      <c r="P54" s="5">
        <f t="shared" si="7"/>
        <v>8502.0479999999989</v>
      </c>
      <c r="Q54" s="5">
        <f t="shared" si="8"/>
        <v>4518.7378291706</v>
      </c>
      <c r="R54" s="5">
        <f t="shared" si="9"/>
        <v>8045.5953737281025</v>
      </c>
    </row>
    <row r="55" spans="3:18" x14ac:dyDescent="0.25">
      <c r="C55" s="2">
        <v>13780</v>
      </c>
      <c r="D55" s="2">
        <f t="shared" si="0"/>
        <v>13.78</v>
      </c>
      <c r="E55" s="2">
        <v>14646</v>
      </c>
      <c r="F55" s="3">
        <v>-56.5</v>
      </c>
      <c r="G55" s="3">
        <f t="shared" si="1"/>
        <v>216.64999999999998</v>
      </c>
      <c r="H55" s="4">
        <v>0.23547000000000001</v>
      </c>
      <c r="I55" s="2">
        <v>295.20999999999998</v>
      </c>
      <c r="J55" s="5">
        <f t="shared" si="2"/>
        <v>1062.7559999999999</v>
      </c>
      <c r="K55" s="2">
        <v>1.4261900000000001</v>
      </c>
      <c r="L55" s="5">
        <f t="shared" si="3"/>
        <v>1062.7559999999999</v>
      </c>
      <c r="M55" s="5">
        <f t="shared" si="4"/>
        <v>2125.5119999999997</v>
      </c>
      <c r="N55" s="5">
        <f t="shared" si="5"/>
        <v>4251.0239999999994</v>
      </c>
      <c r="O55" s="5">
        <f t="shared" si="6"/>
        <v>6376.5359999999991</v>
      </c>
      <c r="P55" s="5">
        <f t="shared" si="7"/>
        <v>8502.0479999999989</v>
      </c>
      <c r="Q55" s="5">
        <f t="shared" si="8"/>
        <v>4518.7378291706</v>
      </c>
      <c r="R55" s="5">
        <f t="shared" si="9"/>
        <v>8045.5953737281025</v>
      </c>
    </row>
    <row r="56" spans="3:18" x14ac:dyDescent="0.25">
      <c r="C56" s="2">
        <v>14310</v>
      </c>
      <c r="D56" s="2">
        <f t="shared" si="0"/>
        <v>14.31</v>
      </c>
      <c r="E56" s="2">
        <v>13472</v>
      </c>
      <c r="F56" s="3">
        <v>-56.5</v>
      </c>
      <c r="G56" s="3">
        <f t="shared" si="1"/>
        <v>216.64999999999998</v>
      </c>
      <c r="H56" s="4">
        <v>0.21659</v>
      </c>
      <c r="I56" s="2">
        <v>295.20999999999998</v>
      </c>
      <c r="J56" s="5">
        <f t="shared" si="2"/>
        <v>1062.7559999999999</v>
      </c>
      <c r="K56" s="2">
        <v>1.4261900000000001</v>
      </c>
      <c r="L56" s="5">
        <f t="shared" si="3"/>
        <v>1062.7559999999999</v>
      </c>
      <c r="M56" s="5">
        <f t="shared" si="4"/>
        <v>2125.5119999999997</v>
      </c>
      <c r="N56" s="5">
        <f t="shared" si="5"/>
        <v>4251.0239999999994</v>
      </c>
      <c r="O56" s="5">
        <f t="shared" si="6"/>
        <v>6376.5359999999991</v>
      </c>
      <c r="P56" s="5">
        <f t="shared" si="7"/>
        <v>8502.0479999999989</v>
      </c>
      <c r="Q56" s="5">
        <f t="shared" si="8"/>
        <v>4518.7378291706</v>
      </c>
      <c r="R56" s="5">
        <f t="shared" si="9"/>
        <v>8045.5953737281025</v>
      </c>
    </row>
    <row r="57" spans="3:18" x14ac:dyDescent="0.25">
      <c r="C57" s="2">
        <v>14850</v>
      </c>
      <c r="D57" s="2">
        <f t="shared" si="0"/>
        <v>14.85</v>
      </c>
      <c r="E57" s="2">
        <v>12373</v>
      </c>
      <c r="F57" s="3">
        <v>-56.5</v>
      </c>
      <c r="G57" s="3">
        <f t="shared" si="1"/>
        <v>216.64999999999998</v>
      </c>
      <c r="H57" s="4">
        <v>0.19891</v>
      </c>
      <c r="I57" s="2">
        <v>295.20999999999998</v>
      </c>
      <c r="J57" s="5">
        <f t="shared" si="2"/>
        <v>1062.7559999999999</v>
      </c>
      <c r="K57" s="2">
        <v>1.4261900000000001</v>
      </c>
      <c r="L57" s="5">
        <f t="shared" si="3"/>
        <v>1062.7559999999999</v>
      </c>
      <c r="M57" s="5">
        <f t="shared" si="4"/>
        <v>2125.5119999999997</v>
      </c>
      <c r="N57" s="5">
        <f t="shared" si="5"/>
        <v>4251.0239999999994</v>
      </c>
      <c r="O57" s="5">
        <f t="shared" si="6"/>
        <v>6376.5359999999991</v>
      </c>
      <c r="P57" s="5">
        <f t="shared" si="7"/>
        <v>8502.0479999999989</v>
      </c>
      <c r="Q57" s="5">
        <f t="shared" si="8"/>
        <v>4518.7378291706</v>
      </c>
      <c r="R57" s="5">
        <f t="shared" si="9"/>
        <v>8045.5953737281025</v>
      </c>
    </row>
    <row r="58" spans="3:18" x14ac:dyDescent="0.25">
      <c r="C58" s="2">
        <v>15400</v>
      </c>
      <c r="D58" s="2">
        <f t="shared" si="0"/>
        <v>15.4</v>
      </c>
      <c r="E58" s="2">
        <v>11345</v>
      </c>
      <c r="F58" s="3">
        <v>-56.5</v>
      </c>
      <c r="G58" s="3">
        <f t="shared" si="1"/>
        <v>216.64999999999998</v>
      </c>
      <c r="H58" s="4">
        <v>0.18239</v>
      </c>
      <c r="I58" s="2">
        <v>295.20999999999998</v>
      </c>
      <c r="J58" s="5">
        <f t="shared" si="2"/>
        <v>1062.7559999999999</v>
      </c>
      <c r="K58" s="2">
        <v>1.4261900000000001</v>
      </c>
      <c r="L58" s="5">
        <f t="shared" si="3"/>
        <v>1062.7559999999999</v>
      </c>
      <c r="M58" s="5">
        <f t="shared" si="4"/>
        <v>2125.5119999999997</v>
      </c>
      <c r="N58" s="5">
        <f t="shared" si="5"/>
        <v>4251.0239999999994</v>
      </c>
      <c r="O58" s="5">
        <f t="shared" si="6"/>
        <v>6376.5359999999991</v>
      </c>
      <c r="P58" s="5">
        <f t="shared" si="7"/>
        <v>8502.0479999999989</v>
      </c>
      <c r="Q58" s="5">
        <f t="shared" si="8"/>
        <v>4518.7378291706</v>
      </c>
      <c r="R58" s="5">
        <f t="shared" si="9"/>
        <v>8045.5953737281025</v>
      </c>
    </row>
    <row r="59" spans="3:18" x14ac:dyDescent="0.25">
      <c r="C59" s="2">
        <v>15960</v>
      </c>
      <c r="D59" s="2">
        <f t="shared" si="0"/>
        <v>15.96</v>
      </c>
      <c r="E59" s="2">
        <v>10386</v>
      </c>
      <c r="F59" s="3">
        <v>-56.5</v>
      </c>
      <c r="G59" s="3">
        <f t="shared" si="1"/>
        <v>216.64999999999998</v>
      </c>
      <c r="H59" s="4">
        <v>0.16697999999999999</v>
      </c>
      <c r="I59" s="2">
        <v>295.20999999999998</v>
      </c>
      <c r="J59" s="5">
        <f t="shared" si="2"/>
        <v>1062.7559999999999</v>
      </c>
      <c r="K59" s="2">
        <v>1.4261900000000001</v>
      </c>
      <c r="L59" s="5">
        <f t="shared" si="3"/>
        <v>1062.7559999999999</v>
      </c>
      <c r="M59" s="5">
        <f t="shared" si="4"/>
        <v>2125.5119999999997</v>
      </c>
      <c r="N59" s="5">
        <f t="shared" si="5"/>
        <v>4251.0239999999994</v>
      </c>
      <c r="O59" s="5">
        <f t="shared" si="6"/>
        <v>6376.5359999999991</v>
      </c>
      <c r="P59" s="5">
        <f t="shared" si="7"/>
        <v>8502.0479999999989</v>
      </c>
      <c r="Q59" s="5">
        <f t="shared" si="8"/>
        <v>4518.7378291706</v>
      </c>
      <c r="R59" s="5">
        <f t="shared" si="9"/>
        <v>8045.5953737281025</v>
      </c>
    </row>
    <row r="60" spans="3:18" x14ac:dyDescent="0.25">
      <c r="C60" s="2">
        <v>16530</v>
      </c>
      <c r="D60" s="2">
        <f t="shared" si="0"/>
        <v>16.53</v>
      </c>
      <c r="E60" s="2">
        <v>9493</v>
      </c>
      <c r="F60" s="3">
        <v>-56.5</v>
      </c>
      <c r="G60" s="3">
        <f t="shared" si="1"/>
        <v>216.64999999999998</v>
      </c>
      <c r="H60" s="4">
        <v>0.15262999999999999</v>
      </c>
      <c r="I60" s="2">
        <v>295.20999999999998</v>
      </c>
      <c r="J60" s="5">
        <f t="shared" si="2"/>
        <v>1062.7559999999999</v>
      </c>
      <c r="K60" s="2">
        <v>1.4261900000000001</v>
      </c>
      <c r="L60" s="5">
        <f t="shared" si="3"/>
        <v>1062.7559999999999</v>
      </c>
      <c r="M60" s="5">
        <f t="shared" si="4"/>
        <v>2125.5119999999997</v>
      </c>
      <c r="N60" s="5">
        <f t="shared" si="5"/>
        <v>4251.0239999999994</v>
      </c>
      <c r="O60" s="5">
        <f t="shared" si="6"/>
        <v>6376.5359999999991</v>
      </c>
      <c r="P60" s="5">
        <f t="shared" si="7"/>
        <v>8502.0479999999989</v>
      </c>
      <c r="Q60" s="5">
        <f t="shared" si="8"/>
        <v>4518.7378291706</v>
      </c>
      <c r="R60" s="5">
        <f t="shared" si="9"/>
        <v>8045.5953737281025</v>
      </c>
    </row>
    <row r="61" spans="3:18" x14ac:dyDescent="0.25">
      <c r="C61" s="2">
        <v>17110</v>
      </c>
      <c r="D61" s="2">
        <f t="shared" si="0"/>
        <v>17.11</v>
      </c>
      <c r="E61" s="2">
        <v>8664</v>
      </c>
      <c r="F61" s="3">
        <v>-56.5</v>
      </c>
      <c r="G61" s="3">
        <f t="shared" si="1"/>
        <v>216.64999999999998</v>
      </c>
      <c r="H61" s="4">
        <v>0.13929</v>
      </c>
      <c r="I61" s="2">
        <v>295.20999999999998</v>
      </c>
      <c r="J61" s="5">
        <f t="shared" si="2"/>
        <v>1062.7559999999999</v>
      </c>
      <c r="K61" s="2">
        <v>1.4261900000000001</v>
      </c>
      <c r="L61" s="5">
        <f t="shared" si="3"/>
        <v>1062.7559999999999</v>
      </c>
      <c r="M61" s="5">
        <f t="shared" si="4"/>
        <v>2125.5119999999997</v>
      </c>
      <c r="N61" s="5">
        <f t="shared" si="5"/>
        <v>4251.0239999999994</v>
      </c>
      <c r="O61" s="5">
        <f t="shared" si="6"/>
        <v>6376.5359999999991</v>
      </c>
      <c r="P61" s="5">
        <f t="shared" si="7"/>
        <v>8502.0479999999989</v>
      </c>
      <c r="Q61" s="5">
        <f t="shared" si="8"/>
        <v>4518.7378291706</v>
      </c>
      <c r="R61" s="5">
        <f t="shared" si="9"/>
        <v>8045.5953737281025</v>
      </c>
    </row>
    <row r="62" spans="3:18" x14ac:dyDescent="0.25">
      <c r="C62" s="2">
        <v>17700</v>
      </c>
      <c r="D62" s="2">
        <f t="shared" si="0"/>
        <v>17.7</v>
      </c>
      <c r="E62" s="2">
        <v>7894</v>
      </c>
      <c r="F62" s="3">
        <v>-56.5</v>
      </c>
      <c r="G62" s="3">
        <f t="shared" si="1"/>
        <v>216.64999999999998</v>
      </c>
      <c r="H62" s="4">
        <v>0.12692000000000001</v>
      </c>
      <c r="I62" s="2">
        <v>295.20999999999998</v>
      </c>
      <c r="J62" s="5">
        <f t="shared" si="2"/>
        <v>1062.7559999999999</v>
      </c>
      <c r="K62" s="2">
        <v>1.4261900000000001</v>
      </c>
      <c r="L62" s="5">
        <f t="shared" si="3"/>
        <v>1062.7559999999999</v>
      </c>
      <c r="M62" s="5">
        <f t="shared" si="4"/>
        <v>2125.5119999999997</v>
      </c>
      <c r="N62" s="5">
        <f t="shared" si="5"/>
        <v>4251.0239999999994</v>
      </c>
      <c r="O62" s="5">
        <f t="shared" si="6"/>
        <v>6376.5359999999991</v>
      </c>
      <c r="P62" s="5">
        <f t="shared" si="7"/>
        <v>8502.0479999999989</v>
      </c>
      <c r="Q62" s="5">
        <f t="shared" si="8"/>
        <v>4518.7378291706</v>
      </c>
      <c r="R62" s="5">
        <f t="shared" si="9"/>
        <v>8045.5953737281025</v>
      </c>
    </row>
    <row r="63" spans="3:18" x14ac:dyDescent="0.25">
      <c r="C63" s="2">
        <v>18300</v>
      </c>
      <c r="D63" s="2">
        <f t="shared" si="0"/>
        <v>18.3</v>
      </c>
      <c r="E63" s="2">
        <v>7182</v>
      </c>
      <c r="F63" s="3">
        <v>-56.5</v>
      </c>
      <c r="G63" s="3">
        <f t="shared" si="1"/>
        <v>216.64999999999998</v>
      </c>
      <c r="H63" s="4">
        <v>0.11545999999999999</v>
      </c>
      <c r="I63" s="2">
        <v>295.20999999999998</v>
      </c>
      <c r="J63" s="5">
        <f t="shared" si="2"/>
        <v>1062.7559999999999</v>
      </c>
      <c r="K63" s="2">
        <v>1.4261900000000001</v>
      </c>
      <c r="L63" s="5">
        <f t="shared" si="3"/>
        <v>1062.7559999999999</v>
      </c>
      <c r="M63" s="5">
        <f t="shared" si="4"/>
        <v>2125.5119999999997</v>
      </c>
      <c r="N63" s="5">
        <f t="shared" si="5"/>
        <v>4251.0239999999994</v>
      </c>
      <c r="O63" s="5">
        <f t="shared" si="6"/>
        <v>6376.5359999999991</v>
      </c>
      <c r="P63" s="5">
        <f t="shared" si="7"/>
        <v>8502.0479999999989</v>
      </c>
      <c r="Q63" s="5">
        <f t="shared" si="8"/>
        <v>4518.7378291706</v>
      </c>
      <c r="R63" s="5">
        <f t="shared" si="9"/>
        <v>8045.5953737281025</v>
      </c>
    </row>
    <row r="64" spans="3:18" x14ac:dyDescent="0.25">
      <c r="C64" s="2">
        <v>18910</v>
      </c>
      <c r="D64" s="2">
        <f t="shared" si="0"/>
        <v>18.91</v>
      </c>
      <c r="E64" s="2">
        <v>6523</v>
      </c>
      <c r="F64" s="3">
        <v>-56.5</v>
      </c>
      <c r="G64" s="3">
        <f t="shared" si="1"/>
        <v>216.64999999999998</v>
      </c>
      <c r="H64" s="4">
        <v>0.10487</v>
      </c>
      <c r="I64" s="2">
        <v>295.20999999999998</v>
      </c>
      <c r="J64" s="5">
        <f t="shared" si="2"/>
        <v>1062.7559999999999</v>
      </c>
      <c r="K64" s="2">
        <v>1.4261900000000001</v>
      </c>
      <c r="L64" s="5">
        <f t="shared" si="3"/>
        <v>1062.7559999999999</v>
      </c>
      <c r="M64" s="5">
        <f t="shared" si="4"/>
        <v>2125.5119999999997</v>
      </c>
      <c r="N64" s="5">
        <f t="shared" si="5"/>
        <v>4251.0239999999994</v>
      </c>
      <c r="O64" s="5">
        <f t="shared" si="6"/>
        <v>6376.5359999999991</v>
      </c>
      <c r="P64" s="5">
        <f t="shared" si="7"/>
        <v>8502.0479999999989</v>
      </c>
      <c r="Q64" s="5">
        <f t="shared" si="8"/>
        <v>4518.7378291706</v>
      </c>
      <c r="R64" s="5">
        <f t="shared" si="9"/>
        <v>8045.5953737281025</v>
      </c>
    </row>
    <row r="65" spans="3:18" x14ac:dyDescent="0.25">
      <c r="C65" s="2">
        <v>19530</v>
      </c>
      <c r="D65" s="2">
        <f t="shared" si="0"/>
        <v>19.53</v>
      </c>
      <c r="E65" s="2">
        <v>5916</v>
      </c>
      <c r="F65" s="3">
        <v>-56.5</v>
      </c>
      <c r="G65" s="3">
        <f t="shared" si="1"/>
        <v>216.64999999999998</v>
      </c>
      <c r="H65" s="4">
        <v>9.511E-2</v>
      </c>
      <c r="I65" s="2">
        <v>295.20999999999998</v>
      </c>
      <c r="J65" s="5">
        <f t="shared" si="2"/>
        <v>1062.7559999999999</v>
      </c>
      <c r="K65" s="2">
        <v>1.4261900000000001</v>
      </c>
      <c r="L65" s="5">
        <f t="shared" si="3"/>
        <v>1062.7559999999999</v>
      </c>
      <c r="M65" s="5">
        <f t="shared" si="4"/>
        <v>2125.5119999999997</v>
      </c>
      <c r="N65" s="5">
        <f t="shared" si="5"/>
        <v>4251.0239999999994</v>
      </c>
      <c r="O65" s="5">
        <f t="shared" si="6"/>
        <v>6376.5359999999991</v>
      </c>
      <c r="P65" s="5">
        <f t="shared" si="7"/>
        <v>8502.0479999999989</v>
      </c>
      <c r="Q65" s="5">
        <f t="shared" si="8"/>
        <v>4518.7378291706</v>
      </c>
      <c r="R65" s="5">
        <f t="shared" si="9"/>
        <v>8045.5953737281025</v>
      </c>
    </row>
    <row r="66" spans="3:18" x14ac:dyDescent="0.25">
      <c r="C66" s="2">
        <v>20160</v>
      </c>
      <c r="D66" s="2">
        <f t="shared" si="0"/>
        <v>20.16</v>
      </c>
      <c r="E66" s="2">
        <v>5393</v>
      </c>
      <c r="F66" s="3">
        <v>-56.4</v>
      </c>
      <c r="G66" s="3">
        <f t="shared" si="1"/>
        <v>216.74999999999997</v>
      </c>
      <c r="H66" s="4">
        <v>8.6669999999999997E-2</v>
      </c>
      <c r="I66" s="2">
        <v>295.27</v>
      </c>
      <c r="J66" s="5">
        <f t="shared" si="2"/>
        <v>1062.972</v>
      </c>
      <c r="K66" s="2">
        <v>1.4267399999999999</v>
      </c>
      <c r="L66" s="5">
        <f t="shared" si="3"/>
        <v>1062.972</v>
      </c>
      <c r="M66" s="5">
        <f t="shared" si="4"/>
        <v>2125.944</v>
      </c>
      <c r="N66" s="5">
        <f t="shared" si="5"/>
        <v>4251.8879999999999</v>
      </c>
      <c r="O66" s="5">
        <f t="shared" si="6"/>
        <v>6377.8320000000003</v>
      </c>
      <c r="P66" s="5">
        <f t="shared" si="7"/>
        <v>8503.7759999999998</v>
      </c>
      <c r="Q66" s="5">
        <f t="shared" si="8"/>
        <v>4518.3250986224139</v>
      </c>
      <c r="R66" s="5">
        <f t="shared" si="9"/>
        <v>8045.2120606069411</v>
      </c>
    </row>
    <row r="67" spans="3:18" x14ac:dyDescent="0.25">
      <c r="C67" s="2">
        <v>20800</v>
      </c>
      <c r="D67" s="2">
        <f t="shared" si="0"/>
        <v>20.8</v>
      </c>
      <c r="E67" s="2">
        <v>4876</v>
      </c>
      <c r="F67" s="3">
        <v>-55.76</v>
      </c>
      <c r="G67" s="3">
        <f t="shared" si="1"/>
        <v>217.39</v>
      </c>
      <c r="H67" s="4">
        <v>7.8130000000000005E-2</v>
      </c>
      <c r="I67" s="2">
        <v>295.70999999999998</v>
      </c>
      <c r="J67" s="5">
        <f t="shared" si="2"/>
        <v>1064.556</v>
      </c>
      <c r="K67" s="2">
        <v>1.4303300000000001</v>
      </c>
      <c r="L67" s="5">
        <f t="shared" si="3"/>
        <v>1064.556</v>
      </c>
      <c r="M67" s="5">
        <f t="shared" si="4"/>
        <v>2129.1120000000001</v>
      </c>
      <c r="N67" s="5">
        <f t="shared" si="5"/>
        <v>4258.2240000000002</v>
      </c>
      <c r="O67" s="5">
        <f t="shared" si="6"/>
        <v>6387.3360000000002</v>
      </c>
      <c r="P67" s="5">
        <f t="shared" si="7"/>
        <v>8516.4480000000003</v>
      </c>
      <c r="Q67" s="5">
        <f t="shared" si="8"/>
        <v>4516.5459127472859</v>
      </c>
      <c r="R67" s="5">
        <f t="shared" si="9"/>
        <v>8044.294898058647</v>
      </c>
    </row>
    <row r="68" spans="3:18" x14ac:dyDescent="0.25">
      <c r="C68" s="2">
        <v>21450</v>
      </c>
      <c r="D68" s="2">
        <f t="shared" ref="D68:D131" si="10">C68/1000</f>
        <v>21.45</v>
      </c>
      <c r="E68" s="2">
        <v>4404</v>
      </c>
      <c r="F68" s="3">
        <v>-55.11</v>
      </c>
      <c r="G68" s="3">
        <f t="shared" ref="G68:G131" si="11">F68+273.15</f>
        <v>218.03999999999996</v>
      </c>
      <c r="H68" s="4">
        <v>7.0349999999999996E-2</v>
      </c>
      <c r="I68" s="2">
        <v>296.14999999999998</v>
      </c>
      <c r="J68" s="5">
        <f t="shared" ref="J68:J131" si="12">I68*3.6</f>
        <v>1066.1399999999999</v>
      </c>
      <c r="K68" s="2">
        <v>1.43398</v>
      </c>
      <c r="L68" s="5">
        <f t="shared" ref="L68:L131" si="13">J68*$L$2</f>
        <v>1066.1399999999999</v>
      </c>
      <c r="M68" s="5">
        <f t="shared" ref="M68:M131" si="14">J68*$M$2</f>
        <v>2132.2799999999997</v>
      </c>
      <c r="N68" s="5">
        <f t="shared" ref="N68:N131" si="15">J68*$N$2</f>
        <v>4264.5599999999995</v>
      </c>
      <c r="O68" s="5">
        <f t="shared" ref="O68:O131" si="16">J68*$O$2</f>
        <v>6396.8399999999992</v>
      </c>
      <c r="P68" s="5">
        <f t="shared" ref="P68:P131" si="17">J68*$P$2</f>
        <v>8529.119999999999</v>
      </c>
      <c r="Q68" s="5">
        <f t="shared" ref="Q68:Q131" si="18">SQRT(($Q$2/G68-1)*2/(1.4-1))*J68</f>
        <v>4514.6430881147407</v>
      </c>
      <c r="R68" s="5">
        <f t="shared" ref="R68:R131" si="19">SQRT(($R$2/G68-1)*2/(1.4-1))*J68</f>
        <v>8043.193968932238</v>
      </c>
    </row>
    <row r="69" spans="3:18" x14ac:dyDescent="0.25">
      <c r="C69" s="2">
        <v>22110</v>
      </c>
      <c r="D69" s="2">
        <f t="shared" si="10"/>
        <v>22.11</v>
      </c>
      <c r="E69" s="2">
        <v>3972</v>
      </c>
      <c r="F69" s="3">
        <v>-54.45</v>
      </c>
      <c r="G69" s="3">
        <f t="shared" si="11"/>
        <v>218.7</v>
      </c>
      <c r="H69" s="4">
        <v>6.3250000000000001E-2</v>
      </c>
      <c r="I69" s="2">
        <v>296.60000000000002</v>
      </c>
      <c r="J69" s="5">
        <f t="shared" si="12"/>
        <v>1067.7600000000002</v>
      </c>
      <c r="K69" s="2">
        <v>1.43767</v>
      </c>
      <c r="L69" s="5">
        <f t="shared" si="13"/>
        <v>1067.7600000000002</v>
      </c>
      <c r="M69" s="5">
        <f t="shared" si="14"/>
        <v>2135.5200000000004</v>
      </c>
      <c r="N69" s="5">
        <f t="shared" si="15"/>
        <v>4271.0400000000009</v>
      </c>
      <c r="O69" s="5">
        <f t="shared" si="16"/>
        <v>6406.5600000000013</v>
      </c>
      <c r="P69" s="5">
        <f t="shared" si="17"/>
        <v>8542.0800000000017</v>
      </c>
      <c r="Q69" s="5">
        <f t="shared" si="18"/>
        <v>4512.7696949221126</v>
      </c>
      <c r="R69" s="5">
        <f t="shared" si="19"/>
        <v>8042.1819745638704</v>
      </c>
    </row>
    <row r="70" spans="3:18" x14ac:dyDescent="0.25">
      <c r="C70" s="2">
        <v>22780</v>
      </c>
      <c r="D70" s="2">
        <f t="shared" si="10"/>
        <v>22.78</v>
      </c>
      <c r="E70" s="2">
        <v>3578</v>
      </c>
      <c r="F70" s="3">
        <v>-53.78</v>
      </c>
      <c r="G70" s="3">
        <f t="shared" si="11"/>
        <v>219.36999999999998</v>
      </c>
      <c r="H70" s="4">
        <v>5.6800000000000003E-2</v>
      </c>
      <c r="I70" s="2">
        <v>297.05</v>
      </c>
      <c r="J70" s="5">
        <f t="shared" si="12"/>
        <v>1069.3800000000001</v>
      </c>
      <c r="K70" s="2">
        <v>1.4414199999999999</v>
      </c>
      <c r="L70" s="5">
        <f t="shared" si="13"/>
        <v>1069.3800000000001</v>
      </c>
      <c r="M70" s="5">
        <f t="shared" si="14"/>
        <v>2138.7600000000002</v>
      </c>
      <c r="N70" s="5">
        <f t="shared" si="15"/>
        <v>4277.5200000000004</v>
      </c>
      <c r="O70" s="5">
        <f t="shared" si="16"/>
        <v>6416.2800000000007</v>
      </c>
      <c r="P70" s="5">
        <f t="shared" si="17"/>
        <v>8555.0400000000009</v>
      </c>
      <c r="Q70" s="5">
        <f t="shared" si="18"/>
        <v>4510.7739192867903</v>
      </c>
      <c r="R70" s="5">
        <f t="shared" si="19"/>
        <v>8040.9884414093249</v>
      </c>
    </row>
    <row r="71" spans="3:18" x14ac:dyDescent="0.25">
      <c r="C71" s="2">
        <v>23460</v>
      </c>
      <c r="D71" s="2">
        <f t="shared" si="10"/>
        <v>23.46</v>
      </c>
      <c r="E71" s="2">
        <v>3219</v>
      </c>
      <c r="F71" s="3">
        <v>-53.1</v>
      </c>
      <c r="G71" s="3">
        <f t="shared" si="11"/>
        <v>220.04999999999998</v>
      </c>
      <c r="H71" s="4">
        <v>5.0950000000000002E-2</v>
      </c>
      <c r="I71" s="2">
        <v>297.51</v>
      </c>
      <c r="J71" s="5">
        <f t="shared" si="12"/>
        <v>1071.0360000000001</v>
      </c>
      <c r="K71" s="2">
        <v>1.4452199999999999</v>
      </c>
      <c r="L71" s="5">
        <f t="shared" si="13"/>
        <v>1071.0360000000001</v>
      </c>
      <c r="M71" s="5">
        <f t="shared" si="14"/>
        <v>2142.0720000000001</v>
      </c>
      <c r="N71" s="5">
        <f t="shared" si="15"/>
        <v>4284.1440000000002</v>
      </c>
      <c r="O71" s="5">
        <f t="shared" si="16"/>
        <v>6426.2160000000003</v>
      </c>
      <c r="P71" s="5">
        <f t="shared" si="17"/>
        <v>8568.2880000000005</v>
      </c>
      <c r="Q71" s="5">
        <f t="shared" si="18"/>
        <v>4508.808245452029</v>
      </c>
      <c r="R71" s="5">
        <f t="shared" si="19"/>
        <v>8039.8851862142756</v>
      </c>
    </row>
    <row r="72" spans="3:18" x14ac:dyDescent="0.25">
      <c r="C72" s="2">
        <v>24150</v>
      </c>
      <c r="D72" s="2">
        <f t="shared" si="10"/>
        <v>24.15</v>
      </c>
      <c r="E72" s="2">
        <v>2892</v>
      </c>
      <c r="F72" s="3">
        <v>-52.41</v>
      </c>
      <c r="G72" s="3">
        <f t="shared" si="11"/>
        <v>220.73999999999998</v>
      </c>
      <c r="H72" s="4">
        <v>4.564E-2</v>
      </c>
      <c r="I72" s="2">
        <v>297.98</v>
      </c>
      <c r="J72" s="5">
        <f t="shared" si="12"/>
        <v>1072.7280000000001</v>
      </c>
      <c r="K72" s="2">
        <v>1.44906</v>
      </c>
      <c r="L72" s="5">
        <f t="shared" si="13"/>
        <v>1072.7280000000001</v>
      </c>
      <c r="M72" s="5">
        <f t="shared" si="14"/>
        <v>2145.4560000000001</v>
      </c>
      <c r="N72" s="5">
        <f t="shared" si="15"/>
        <v>4290.9120000000003</v>
      </c>
      <c r="O72" s="5">
        <f t="shared" si="16"/>
        <v>6436.3680000000004</v>
      </c>
      <c r="P72" s="5">
        <f t="shared" si="17"/>
        <v>8581.8240000000005</v>
      </c>
      <c r="Q72" s="5">
        <f t="shared" si="18"/>
        <v>4506.8727046650056</v>
      </c>
      <c r="R72" s="5">
        <f t="shared" si="19"/>
        <v>8038.8724229341424</v>
      </c>
    </row>
    <row r="73" spans="3:18" x14ac:dyDescent="0.25">
      <c r="C73" s="2">
        <v>24850</v>
      </c>
      <c r="D73" s="2">
        <f t="shared" si="10"/>
        <v>24.85</v>
      </c>
      <c r="E73" s="2">
        <v>2596</v>
      </c>
      <c r="F73" s="3">
        <v>-51.71</v>
      </c>
      <c r="G73" s="3">
        <f t="shared" si="11"/>
        <v>221.43999999999997</v>
      </c>
      <c r="H73" s="4">
        <v>4.0829999999999998E-2</v>
      </c>
      <c r="I73" s="2">
        <v>298.45</v>
      </c>
      <c r="J73" s="5">
        <f t="shared" si="12"/>
        <v>1074.42</v>
      </c>
      <c r="K73" s="2">
        <v>1.45296</v>
      </c>
      <c r="L73" s="5">
        <f t="shared" si="13"/>
        <v>1074.42</v>
      </c>
      <c r="M73" s="5">
        <f t="shared" si="14"/>
        <v>2148.84</v>
      </c>
      <c r="N73" s="5">
        <f t="shared" si="15"/>
        <v>4297.68</v>
      </c>
      <c r="O73" s="5">
        <f t="shared" si="16"/>
        <v>6446.52</v>
      </c>
      <c r="P73" s="5">
        <f t="shared" si="17"/>
        <v>8595.36</v>
      </c>
      <c r="Q73" s="5">
        <f t="shared" si="18"/>
        <v>4504.8163791955822</v>
      </c>
      <c r="R73" s="5">
        <f t="shared" si="19"/>
        <v>8037.6810403950312</v>
      </c>
    </row>
    <row r="74" spans="3:18" x14ac:dyDescent="0.25">
      <c r="C74" s="2">
        <v>25560</v>
      </c>
      <c r="D74" s="2">
        <f t="shared" si="10"/>
        <v>25.56</v>
      </c>
      <c r="E74" s="2">
        <v>2327</v>
      </c>
      <c r="F74" s="3">
        <v>-51</v>
      </c>
      <c r="G74" s="3">
        <f t="shared" si="11"/>
        <v>222.14999999999998</v>
      </c>
      <c r="H74" s="4">
        <v>3.6479999999999999E-2</v>
      </c>
      <c r="I74" s="2">
        <v>298.93</v>
      </c>
      <c r="J74" s="5">
        <f t="shared" si="12"/>
        <v>1076.1480000000001</v>
      </c>
      <c r="K74" s="2">
        <v>1.4569099999999999</v>
      </c>
      <c r="L74" s="5">
        <f t="shared" si="13"/>
        <v>1076.1480000000001</v>
      </c>
      <c r="M74" s="5">
        <f t="shared" si="14"/>
        <v>2152.2960000000003</v>
      </c>
      <c r="N74" s="5">
        <f t="shared" si="15"/>
        <v>4304.5920000000006</v>
      </c>
      <c r="O74" s="5">
        <f t="shared" si="16"/>
        <v>6456.8880000000008</v>
      </c>
      <c r="P74" s="5">
        <f t="shared" si="17"/>
        <v>8609.1840000000011</v>
      </c>
      <c r="Q74" s="5">
        <f t="shared" si="18"/>
        <v>4502.7908437613414</v>
      </c>
      <c r="R74" s="5">
        <f t="shared" si="19"/>
        <v>8036.5814831536818</v>
      </c>
    </row>
    <row r="75" spans="3:18" x14ac:dyDescent="0.25">
      <c r="C75" s="2">
        <v>26280</v>
      </c>
      <c r="D75" s="2">
        <f t="shared" si="10"/>
        <v>26.28</v>
      </c>
      <c r="E75" s="2">
        <v>2083</v>
      </c>
      <c r="F75" s="3">
        <v>-50.28</v>
      </c>
      <c r="G75" s="3">
        <f t="shared" si="11"/>
        <v>222.86999999999998</v>
      </c>
      <c r="H75" s="4">
        <v>3.2559999999999999E-2</v>
      </c>
      <c r="I75" s="2">
        <v>299.41000000000003</v>
      </c>
      <c r="J75" s="5">
        <f t="shared" si="12"/>
        <v>1077.8760000000002</v>
      </c>
      <c r="K75" s="2">
        <v>1.4609000000000001</v>
      </c>
      <c r="L75" s="5">
        <f t="shared" si="13"/>
        <v>1077.8760000000002</v>
      </c>
      <c r="M75" s="5">
        <f t="shared" si="14"/>
        <v>2155.7520000000004</v>
      </c>
      <c r="N75" s="5">
        <f t="shared" si="15"/>
        <v>4311.5040000000008</v>
      </c>
      <c r="O75" s="5">
        <f t="shared" si="16"/>
        <v>6467.2560000000012</v>
      </c>
      <c r="P75" s="5">
        <f t="shared" si="17"/>
        <v>8623.0080000000016</v>
      </c>
      <c r="Q75" s="5">
        <f t="shared" si="18"/>
        <v>4500.6457955977276</v>
      </c>
      <c r="R75" s="5">
        <f t="shared" si="19"/>
        <v>8035.3055738883404</v>
      </c>
    </row>
    <row r="76" spans="3:18" x14ac:dyDescent="0.25">
      <c r="C76" s="2">
        <v>27010</v>
      </c>
      <c r="D76" s="2">
        <f t="shared" si="10"/>
        <v>27.01</v>
      </c>
      <c r="E76" s="2">
        <v>1863</v>
      </c>
      <c r="F76" s="3">
        <v>-49.55</v>
      </c>
      <c r="G76" s="3">
        <f t="shared" si="11"/>
        <v>223.59999999999997</v>
      </c>
      <c r="H76" s="4">
        <v>2.9020000000000001E-2</v>
      </c>
      <c r="I76" s="2">
        <v>299.91000000000003</v>
      </c>
      <c r="J76" s="5">
        <f t="shared" si="12"/>
        <v>1079.6760000000002</v>
      </c>
      <c r="K76" s="2">
        <v>1.46495</v>
      </c>
      <c r="L76" s="5">
        <f t="shared" si="13"/>
        <v>1079.6760000000002</v>
      </c>
      <c r="M76" s="5">
        <f t="shared" si="14"/>
        <v>2159.3520000000003</v>
      </c>
      <c r="N76" s="5">
        <f t="shared" si="15"/>
        <v>4318.7040000000006</v>
      </c>
      <c r="O76" s="5">
        <f t="shared" si="16"/>
        <v>6478.0560000000005</v>
      </c>
      <c r="P76" s="5">
        <f t="shared" si="17"/>
        <v>8637.4080000000013</v>
      </c>
      <c r="Q76" s="5">
        <f t="shared" si="18"/>
        <v>4498.6821905825045</v>
      </c>
      <c r="R76" s="5">
        <f t="shared" si="19"/>
        <v>8034.3907156877403</v>
      </c>
    </row>
    <row r="77" spans="3:18" x14ac:dyDescent="0.25">
      <c r="C77" s="2">
        <v>27750</v>
      </c>
      <c r="D77" s="2">
        <f t="shared" si="10"/>
        <v>27.75</v>
      </c>
      <c r="E77" s="2">
        <v>1664</v>
      </c>
      <c r="F77" s="3">
        <v>-48.81</v>
      </c>
      <c r="G77" s="3">
        <f t="shared" si="11"/>
        <v>224.33999999999997</v>
      </c>
      <c r="H77" s="4">
        <v>2.5839999999999998E-2</v>
      </c>
      <c r="I77" s="2">
        <v>300.39999999999998</v>
      </c>
      <c r="J77" s="5">
        <f t="shared" si="12"/>
        <v>1081.44</v>
      </c>
      <c r="K77" s="2">
        <v>1.4690399999999999</v>
      </c>
      <c r="L77" s="5">
        <f t="shared" si="13"/>
        <v>1081.44</v>
      </c>
      <c r="M77" s="5">
        <f t="shared" si="14"/>
        <v>2162.88</v>
      </c>
      <c r="N77" s="5">
        <f t="shared" si="15"/>
        <v>4325.76</v>
      </c>
      <c r="O77" s="5">
        <f t="shared" si="16"/>
        <v>6488.64</v>
      </c>
      <c r="P77" s="5">
        <f t="shared" si="17"/>
        <v>8651.52</v>
      </c>
      <c r="Q77" s="5">
        <f t="shared" si="18"/>
        <v>4496.450030790108</v>
      </c>
      <c r="R77" s="5">
        <f t="shared" si="19"/>
        <v>8033.0334121027636</v>
      </c>
    </row>
    <row r="78" spans="3:18" x14ac:dyDescent="0.25">
      <c r="C78" s="2">
        <v>28500</v>
      </c>
      <c r="D78" s="2">
        <f t="shared" si="10"/>
        <v>28.5</v>
      </c>
      <c r="E78" s="2">
        <v>1485</v>
      </c>
      <c r="F78" s="3">
        <v>-48.06</v>
      </c>
      <c r="G78" s="3">
        <f t="shared" si="11"/>
        <v>225.08999999999997</v>
      </c>
      <c r="H78" s="4">
        <v>2.298E-2</v>
      </c>
      <c r="I78" s="2">
        <v>300.89999999999998</v>
      </c>
      <c r="J78" s="5">
        <f t="shared" si="12"/>
        <v>1083.24</v>
      </c>
      <c r="K78" s="2">
        <v>1.47319</v>
      </c>
      <c r="L78" s="5">
        <f t="shared" si="13"/>
        <v>1083.24</v>
      </c>
      <c r="M78" s="5">
        <f t="shared" si="14"/>
        <v>2166.48</v>
      </c>
      <c r="N78" s="5">
        <f t="shared" si="15"/>
        <v>4332.96</v>
      </c>
      <c r="O78" s="5">
        <f t="shared" si="16"/>
        <v>6499.4400000000005</v>
      </c>
      <c r="P78" s="5">
        <f t="shared" si="17"/>
        <v>8665.92</v>
      </c>
      <c r="Q78" s="5">
        <f t="shared" si="18"/>
        <v>4494.2499553474272</v>
      </c>
      <c r="R78" s="5">
        <f t="shared" si="19"/>
        <v>8031.7705902670641</v>
      </c>
    </row>
    <row r="79" spans="3:18" x14ac:dyDescent="0.25">
      <c r="C79" s="2">
        <v>29260</v>
      </c>
      <c r="D79" s="2">
        <f t="shared" si="10"/>
        <v>29.26</v>
      </c>
      <c r="E79" s="2">
        <v>1324</v>
      </c>
      <c r="F79" s="3">
        <v>-47.3</v>
      </c>
      <c r="G79" s="3">
        <f t="shared" si="11"/>
        <v>225.84999999999997</v>
      </c>
      <c r="H79" s="4">
        <v>2.0410000000000001E-2</v>
      </c>
      <c r="I79" s="2">
        <v>301.41000000000003</v>
      </c>
      <c r="J79" s="5">
        <f t="shared" si="12"/>
        <v>1085.076</v>
      </c>
      <c r="K79" s="2">
        <v>1.4773799999999999</v>
      </c>
      <c r="L79" s="5">
        <f t="shared" si="13"/>
        <v>1085.076</v>
      </c>
      <c r="M79" s="5">
        <f t="shared" si="14"/>
        <v>2170.152</v>
      </c>
      <c r="N79" s="5">
        <f t="shared" si="15"/>
        <v>4340.3040000000001</v>
      </c>
      <c r="O79" s="5">
        <f t="shared" si="16"/>
        <v>6510.4560000000001</v>
      </c>
      <c r="P79" s="5">
        <f t="shared" si="17"/>
        <v>8680.6080000000002</v>
      </c>
      <c r="Q79" s="5">
        <f t="shared" si="18"/>
        <v>4492.0819597323789</v>
      </c>
      <c r="R79" s="5">
        <f t="shared" si="19"/>
        <v>8030.6024224879493</v>
      </c>
    </row>
    <row r="80" spans="3:18" x14ac:dyDescent="0.25">
      <c r="C80" s="2">
        <v>30030</v>
      </c>
      <c r="D80" s="2">
        <f t="shared" si="10"/>
        <v>30.03</v>
      </c>
      <c r="E80" s="2">
        <v>1178</v>
      </c>
      <c r="F80" s="3">
        <v>-46.53</v>
      </c>
      <c r="G80" s="3">
        <f t="shared" si="11"/>
        <v>226.61999999999998</v>
      </c>
      <c r="H80" s="4">
        <v>1.8110000000000001E-2</v>
      </c>
      <c r="I80" s="2">
        <v>301.92</v>
      </c>
      <c r="J80" s="5">
        <f t="shared" si="12"/>
        <v>1086.912</v>
      </c>
      <c r="K80" s="2">
        <v>1.4816199999999999</v>
      </c>
      <c r="L80" s="5">
        <f t="shared" si="13"/>
        <v>1086.912</v>
      </c>
      <c r="M80" s="5">
        <f t="shared" si="14"/>
        <v>2173.8240000000001</v>
      </c>
      <c r="N80" s="5">
        <f t="shared" si="15"/>
        <v>4347.6480000000001</v>
      </c>
      <c r="O80" s="5">
        <f t="shared" si="16"/>
        <v>6521.4719999999998</v>
      </c>
      <c r="P80" s="5">
        <f t="shared" si="17"/>
        <v>8695.2960000000003</v>
      </c>
      <c r="Q80" s="5">
        <f t="shared" si="18"/>
        <v>4489.7973218726111</v>
      </c>
      <c r="R80" s="5">
        <f t="shared" si="19"/>
        <v>8029.2631287596405</v>
      </c>
    </row>
    <row r="81" spans="3:18" x14ac:dyDescent="0.25">
      <c r="C81" s="2">
        <v>30810</v>
      </c>
      <c r="D81" s="2">
        <f t="shared" si="10"/>
        <v>30.81</v>
      </c>
      <c r="E81" s="2">
        <v>1048</v>
      </c>
      <c r="F81" s="3">
        <v>-45.75</v>
      </c>
      <c r="G81" s="3">
        <f t="shared" si="11"/>
        <v>227.39999999999998</v>
      </c>
      <c r="H81" s="4">
        <v>1.6049999999999998E-2</v>
      </c>
      <c r="I81" s="2">
        <v>302.44</v>
      </c>
      <c r="J81" s="5">
        <f t="shared" si="12"/>
        <v>1088.7840000000001</v>
      </c>
      <c r="K81" s="2">
        <v>1.4859100000000001</v>
      </c>
      <c r="L81" s="5">
        <f t="shared" si="13"/>
        <v>1088.7840000000001</v>
      </c>
      <c r="M81" s="5">
        <f t="shared" si="14"/>
        <v>2177.5680000000002</v>
      </c>
      <c r="N81" s="5">
        <f t="shared" si="15"/>
        <v>4355.1360000000004</v>
      </c>
      <c r="O81" s="5">
        <f t="shared" si="16"/>
        <v>6532.7040000000006</v>
      </c>
      <c r="P81" s="5">
        <f t="shared" si="17"/>
        <v>8710.2720000000008</v>
      </c>
      <c r="Q81" s="5">
        <f t="shared" si="18"/>
        <v>4487.5453869414905</v>
      </c>
      <c r="R81" s="5">
        <f t="shared" si="19"/>
        <v>8028.0197937098792</v>
      </c>
    </row>
    <row r="82" spans="3:18" x14ac:dyDescent="0.25">
      <c r="C82" s="2">
        <v>31600</v>
      </c>
      <c r="D82" s="2">
        <f t="shared" si="10"/>
        <v>31.6</v>
      </c>
      <c r="E82" s="2">
        <v>931</v>
      </c>
      <c r="F82" s="3">
        <v>-44.96</v>
      </c>
      <c r="G82" s="3">
        <f t="shared" si="11"/>
        <v>228.18999999999997</v>
      </c>
      <c r="H82" s="4">
        <v>1.421E-2</v>
      </c>
      <c r="I82" s="2">
        <v>302.97000000000003</v>
      </c>
      <c r="J82" s="5">
        <f t="shared" si="12"/>
        <v>1090.6920000000002</v>
      </c>
      <c r="K82" s="2">
        <v>1.49024</v>
      </c>
      <c r="L82" s="5">
        <f t="shared" si="13"/>
        <v>1090.6920000000002</v>
      </c>
      <c r="M82" s="5">
        <f t="shared" si="14"/>
        <v>2181.3840000000005</v>
      </c>
      <c r="N82" s="5">
        <f t="shared" si="15"/>
        <v>4362.7680000000009</v>
      </c>
      <c r="O82" s="5">
        <f t="shared" si="16"/>
        <v>6544.1520000000019</v>
      </c>
      <c r="P82" s="5">
        <f t="shared" si="17"/>
        <v>8725.5360000000019</v>
      </c>
      <c r="Q82" s="5">
        <f t="shared" si="18"/>
        <v>4485.3261302703941</v>
      </c>
      <c r="R82" s="5">
        <f t="shared" si="19"/>
        <v>8026.8725644884398</v>
      </c>
    </row>
    <row r="83" spans="3:18" x14ac:dyDescent="0.25">
      <c r="C83" s="2">
        <v>32400</v>
      </c>
      <c r="D83" s="2">
        <f t="shared" si="10"/>
        <v>32.4</v>
      </c>
      <c r="E83" s="2">
        <v>838</v>
      </c>
      <c r="F83" s="3">
        <v>-43.83</v>
      </c>
      <c r="G83" s="3">
        <f t="shared" si="11"/>
        <v>229.32</v>
      </c>
      <c r="H83" s="4">
        <v>1.273E-2</v>
      </c>
      <c r="I83" s="2">
        <v>303.72000000000003</v>
      </c>
      <c r="J83" s="5">
        <f t="shared" si="12"/>
        <v>1093.3920000000001</v>
      </c>
      <c r="K83" s="2">
        <v>1.4964299999999999</v>
      </c>
      <c r="L83" s="5">
        <f t="shared" si="13"/>
        <v>1093.3920000000001</v>
      </c>
      <c r="M83" s="5">
        <f t="shared" si="14"/>
        <v>2186.7840000000001</v>
      </c>
      <c r="N83" s="5">
        <f t="shared" si="15"/>
        <v>4373.5680000000002</v>
      </c>
      <c r="O83" s="5">
        <f t="shared" si="16"/>
        <v>6560.3520000000008</v>
      </c>
      <c r="P83" s="5">
        <f t="shared" si="17"/>
        <v>8747.1360000000004</v>
      </c>
      <c r="Q83" s="5">
        <f t="shared" si="18"/>
        <v>4482.0528370383363</v>
      </c>
      <c r="R83" s="5">
        <f t="shared" si="19"/>
        <v>8025.0579543049516</v>
      </c>
    </row>
    <row r="84" spans="3:18" x14ac:dyDescent="0.25">
      <c r="C84" s="2">
        <v>33210</v>
      </c>
      <c r="D84" s="2">
        <f t="shared" si="10"/>
        <v>33.21</v>
      </c>
      <c r="E84" s="2">
        <v>743</v>
      </c>
      <c r="F84" s="3">
        <v>-41.57</v>
      </c>
      <c r="G84" s="3">
        <f t="shared" si="11"/>
        <v>231.57999999999998</v>
      </c>
      <c r="H84" s="4">
        <v>1.1180000000000001E-2</v>
      </c>
      <c r="I84" s="2">
        <v>305.22000000000003</v>
      </c>
      <c r="J84" s="5">
        <f t="shared" si="12"/>
        <v>1098.7920000000001</v>
      </c>
      <c r="K84" s="2">
        <v>1.50881</v>
      </c>
      <c r="L84" s="5">
        <f t="shared" si="13"/>
        <v>1098.7920000000001</v>
      </c>
      <c r="M84" s="5">
        <f t="shared" si="14"/>
        <v>2197.5840000000003</v>
      </c>
      <c r="N84" s="5">
        <f t="shared" si="15"/>
        <v>4395.1680000000006</v>
      </c>
      <c r="O84" s="5">
        <f t="shared" si="16"/>
        <v>6592.7520000000004</v>
      </c>
      <c r="P84" s="5">
        <f t="shared" si="17"/>
        <v>8790.3360000000011</v>
      </c>
      <c r="Q84" s="5">
        <f t="shared" si="18"/>
        <v>4475.5797078959431</v>
      </c>
      <c r="R84" s="5">
        <f t="shared" si="19"/>
        <v>8021.5721559065223</v>
      </c>
    </row>
    <row r="85" spans="3:18" x14ac:dyDescent="0.25">
      <c r="C85" s="2">
        <v>34030</v>
      </c>
      <c r="D85" s="2">
        <f t="shared" si="10"/>
        <v>34.03</v>
      </c>
      <c r="E85" s="2">
        <v>659</v>
      </c>
      <c r="F85" s="3">
        <v>-39.270000000000003</v>
      </c>
      <c r="G85" s="3">
        <f t="shared" si="11"/>
        <v>233.87999999999997</v>
      </c>
      <c r="H85" s="4">
        <v>9.8200000000000006E-3</v>
      </c>
      <c r="I85" s="2">
        <v>306.72000000000003</v>
      </c>
      <c r="J85" s="5">
        <f t="shared" si="12"/>
        <v>1104.1920000000002</v>
      </c>
      <c r="K85" s="2">
        <v>1.52128</v>
      </c>
      <c r="L85" s="5">
        <f t="shared" si="13"/>
        <v>1104.1920000000002</v>
      </c>
      <c r="M85" s="5">
        <f t="shared" si="14"/>
        <v>2208.3840000000005</v>
      </c>
      <c r="N85" s="5">
        <f t="shared" si="15"/>
        <v>4416.7680000000009</v>
      </c>
      <c r="O85" s="5">
        <f t="shared" si="16"/>
        <v>6625.1520000000019</v>
      </c>
      <c r="P85" s="5">
        <f t="shared" si="17"/>
        <v>8833.5360000000019</v>
      </c>
      <c r="Q85" s="5">
        <f t="shared" si="18"/>
        <v>4468.702634171671</v>
      </c>
      <c r="R85" s="5">
        <f t="shared" si="19"/>
        <v>8017.521967385348</v>
      </c>
    </row>
    <row r="86" spans="3:18" x14ac:dyDescent="0.25">
      <c r="C86" s="2">
        <v>34860</v>
      </c>
      <c r="D86" s="2">
        <f t="shared" si="10"/>
        <v>34.86</v>
      </c>
      <c r="E86" s="2">
        <v>584</v>
      </c>
      <c r="F86" s="3">
        <v>-36.950000000000003</v>
      </c>
      <c r="G86" s="3">
        <f t="shared" si="11"/>
        <v>236.2</v>
      </c>
      <c r="H86" s="4">
        <v>8.6099999999999996E-3</v>
      </c>
      <c r="I86" s="2">
        <v>308.24</v>
      </c>
      <c r="J86" s="5">
        <f t="shared" si="12"/>
        <v>1109.664</v>
      </c>
      <c r="K86" s="2">
        <v>1.5338400000000001</v>
      </c>
      <c r="L86" s="5">
        <f t="shared" si="13"/>
        <v>1109.664</v>
      </c>
      <c r="M86" s="5">
        <f t="shared" si="14"/>
        <v>2219.328</v>
      </c>
      <c r="N86" s="5">
        <f t="shared" si="15"/>
        <v>4438.6559999999999</v>
      </c>
      <c r="O86" s="5">
        <f t="shared" si="16"/>
        <v>6657.9840000000004</v>
      </c>
      <c r="P86" s="5">
        <f t="shared" si="17"/>
        <v>8877.3119999999999</v>
      </c>
      <c r="Q86" s="5">
        <f t="shared" si="18"/>
        <v>4461.9672602781775</v>
      </c>
      <c r="R86" s="5">
        <f t="shared" si="19"/>
        <v>8013.8143593086024</v>
      </c>
    </row>
    <row r="87" spans="3:18" x14ac:dyDescent="0.25">
      <c r="C87" s="2">
        <v>35700</v>
      </c>
      <c r="D87" s="2">
        <f t="shared" si="10"/>
        <v>35.700000000000003</v>
      </c>
      <c r="E87" s="2">
        <v>518</v>
      </c>
      <c r="F87" s="3">
        <v>-34.590000000000003</v>
      </c>
      <c r="G87" s="3">
        <f t="shared" si="11"/>
        <v>238.55999999999997</v>
      </c>
      <c r="H87" s="4">
        <v>7.5599999999999999E-3</v>
      </c>
      <c r="I87" s="2">
        <v>309.77</v>
      </c>
      <c r="J87" s="5">
        <f t="shared" si="12"/>
        <v>1115.172</v>
      </c>
      <c r="K87" s="2">
        <v>1.5465</v>
      </c>
      <c r="L87" s="5">
        <f t="shared" si="13"/>
        <v>1115.172</v>
      </c>
      <c r="M87" s="5">
        <f t="shared" si="14"/>
        <v>2230.3440000000001</v>
      </c>
      <c r="N87" s="5">
        <f t="shared" si="15"/>
        <v>4460.6880000000001</v>
      </c>
      <c r="O87" s="5">
        <f t="shared" si="16"/>
        <v>6691.0320000000002</v>
      </c>
      <c r="P87" s="5">
        <f t="shared" si="17"/>
        <v>8921.3760000000002</v>
      </c>
      <c r="Q87" s="5">
        <f t="shared" si="18"/>
        <v>4454.9813406162502</v>
      </c>
      <c r="R87" s="5">
        <f t="shared" si="19"/>
        <v>8009.8184513513916</v>
      </c>
    </row>
    <row r="88" spans="3:18" x14ac:dyDescent="0.25">
      <c r="C88" s="2">
        <v>36550</v>
      </c>
      <c r="D88" s="2">
        <f t="shared" si="10"/>
        <v>36.549999999999997</v>
      </c>
      <c r="E88" s="2">
        <v>459</v>
      </c>
      <c r="F88" s="3">
        <v>-32.21</v>
      </c>
      <c r="G88" s="3">
        <f t="shared" si="11"/>
        <v>240.93999999999997</v>
      </c>
      <c r="H88" s="4">
        <v>6.6299999999999996E-3</v>
      </c>
      <c r="I88" s="2">
        <v>311.31</v>
      </c>
      <c r="J88" s="5">
        <f t="shared" si="12"/>
        <v>1120.7160000000001</v>
      </c>
      <c r="K88" s="2">
        <v>1.55924</v>
      </c>
      <c r="L88" s="5">
        <f t="shared" si="13"/>
        <v>1120.7160000000001</v>
      </c>
      <c r="M88" s="5">
        <f t="shared" si="14"/>
        <v>2241.4320000000002</v>
      </c>
      <c r="N88" s="5">
        <f t="shared" si="15"/>
        <v>4482.8640000000005</v>
      </c>
      <c r="O88" s="5">
        <f t="shared" si="16"/>
        <v>6724.2960000000003</v>
      </c>
      <c r="P88" s="5">
        <f t="shared" si="17"/>
        <v>8965.728000000001</v>
      </c>
      <c r="Q88" s="5">
        <f t="shared" si="18"/>
        <v>4447.9938125781255</v>
      </c>
      <c r="R88" s="5">
        <f t="shared" si="19"/>
        <v>8005.9096410561551</v>
      </c>
    </row>
    <row r="89" spans="3:18" x14ac:dyDescent="0.25">
      <c r="C89" s="2">
        <v>37410</v>
      </c>
      <c r="D89" s="2">
        <f t="shared" si="10"/>
        <v>37.409999999999997</v>
      </c>
      <c r="E89" s="2">
        <v>406</v>
      </c>
      <c r="F89" s="3">
        <v>-29.81</v>
      </c>
      <c r="G89" s="3">
        <f t="shared" si="11"/>
        <v>243.33999999999997</v>
      </c>
      <c r="H89" s="4">
        <v>5.8100000000000001E-3</v>
      </c>
      <c r="I89" s="2">
        <v>312.86</v>
      </c>
      <c r="J89" s="5">
        <f t="shared" si="12"/>
        <v>1126.296</v>
      </c>
      <c r="K89" s="2">
        <v>1.5720700000000001</v>
      </c>
      <c r="L89" s="5">
        <f t="shared" si="13"/>
        <v>1126.296</v>
      </c>
      <c r="M89" s="5">
        <f t="shared" si="14"/>
        <v>2252.5920000000001</v>
      </c>
      <c r="N89" s="5">
        <f t="shared" si="15"/>
        <v>4505.1840000000002</v>
      </c>
      <c r="O89" s="5">
        <f t="shared" si="16"/>
        <v>6757.7759999999998</v>
      </c>
      <c r="P89" s="5">
        <f t="shared" si="17"/>
        <v>9010.3680000000004</v>
      </c>
      <c r="Q89" s="5">
        <f t="shared" si="18"/>
        <v>4441.0041609476229</v>
      </c>
      <c r="R89" s="5">
        <f t="shared" si="19"/>
        <v>8002.0879314171543</v>
      </c>
    </row>
    <row r="90" spans="3:18" x14ac:dyDescent="0.25">
      <c r="C90" s="2">
        <v>38280</v>
      </c>
      <c r="D90" s="2">
        <f t="shared" si="10"/>
        <v>38.28</v>
      </c>
      <c r="E90" s="2">
        <v>360</v>
      </c>
      <c r="F90" s="3">
        <v>-27.37</v>
      </c>
      <c r="G90" s="3">
        <f t="shared" si="11"/>
        <v>245.77999999999997</v>
      </c>
      <c r="H90" s="4">
        <v>5.1000000000000004E-3</v>
      </c>
      <c r="I90" s="2">
        <v>314.42</v>
      </c>
      <c r="J90" s="5">
        <f t="shared" si="12"/>
        <v>1131.912</v>
      </c>
      <c r="K90" s="2">
        <v>1.585</v>
      </c>
      <c r="L90" s="5">
        <f t="shared" si="13"/>
        <v>1131.912</v>
      </c>
      <c r="M90" s="5">
        <f t="shared" si="14"/>
        <v>2263.8240000000001</v>
      </c>
      <c r="N90" s="5">
        <f t="shared" si="15"/>
        <v>4527.6480000000001</v>
      </c>
      <c r="O90" s="5">
        <f t="shared" si="16"/>
        <v>6791.4719999999998</v>
      </c>
      <c r="P90" s="5">
        <f t="shared" si="17"/>
        <v>9055.2960000000003</v>
      </c>
      <c r="Q90" s="5">
        <f t="shared" si="18"/>
        <v>4433.772635438796</v>
      </c>
      <c r="R90" s="5">
        <f t="shared" si="19"/>
        <v>7997.9952492666507</v>
      </c>
    </row>
    <row r="91" spans="3:18" x14ac:dyDescent="0.25">
      <c r="C91" s="2">
        <v>39160</v>
      </c>
      <c r="D91" s="2">
        <f t="shared" si="10"/>
        <v>39.159999999999997</v>
      </c>
      <c r="E91" s="2">
        <v>319</v>
      </c>
      <c r="F91" s="3">
        <v>-24.91</v>
      </c>
      <c r="G91" s="3">
        <f t="shared" si="11"/>
        <v>248.23999999999998</v>
      </c>
      <c r="H91" s="4">
        <v>4.47E-3</v>
      </c>
      <c r="I91" s="2">
        <v>315.99</v>
      </c>
      <c r="J91" s="5">
        <f t="shared" si="12"/>
        <v>1137.5640000000001</v>
      </c>
      <c r="K91" s="2">
        <v>1.5980000000000001</v>
      </c>
      <c r="L91" s="5">
        <f t="shared" si="13"/>
        <v>1137.5640000000001</v>
      </c>
      <c r="M91" s="5">
        <f t="shared" si="14"/>
        <v>2275.1280000000002</v>
      </c>
      <c r="N91" s="5">
        <f t="shared" si="15"/>
        <v>4550.2560000000003</v>
      </c>
      <c r="O91" s="5">
        <f t="shared" si="16"/>
        <v>6825.384</v>
      </c>
      <c r="P91" s="5">
        <f t="shared" si="17"/>
        <v>9100.5120000000006</v>
      </c>
      <c r="Q91" s="5">
        <f t="shared" si="18"/>
        <v>4426.5417779995378</v>
      </c>
      <c r="R91" s="5">
        <f t="shared" si="19"/>
        <v>7993.9962136111462</v>
      </c>
    </row>
    <row r="92" spans="3:18" x14ac:dyDescent="0.25">
      <c r="C92" s="2">
        <v>40050</v>
      </c>
      <c r="D92" s="2">
        <f t="shared" si="10"/>
        <v>40.049999999999997</v>
      </c>
      <c r="E92" s="2">
        <v>282</v>
      </c>
      <c r="F92" s="3">
        <v>-22.41</v>
      </c>
      <c r="G92" s="3">
        <f t="shared" si="11"/>
        <v>250.73999999999998</v>
      </c>
      <c r="H92" s="4">
        <v>3.9199999999999999E-3</v>
      </c>
      <c r="I92" s="2">
        <v>317.57</v>
      </c>
      <c r="J92" s="5">
        <f t="shared" si="12"/>
        <v>1143.252</v>
      </c>
      <c r="K92" s="2">
        <v>1.6111</v>
      </c>
      <c r="L92" s="5">
        <f t="shared" si="13"/>
        <v>1143.252</v>
      </c>
      <c r="M92" s="5">
        <f t="shared" si="14"/>
        <v>2286.5039999999999</v>
      </c>
      <c r="N92" s="5">
        <f t="shared" si="15"/>
        <v>4573.0079999999998</v>
      </c>
      <c r="O92" s="5">
        <f t="shared" si="16"/>
        <v>6859.5119999999997</v>
      </c>
      <c r="P92" s="5">
        <f t="shared" si="17"/>
        <v>9146.0159999999996</v>
      </c>
      <c r="Q92" s="5">
        <f t="shared" si="18"/>
        <v>4419.0756387768361</v>
      </c>
      <c r="R92" s="5">
        <f t="shared" si="19"/>
        <v>7989.7392513840805</v>
      </c>
    </row>
    <row r="93" spans="3:18" x14ac:dyDescent="0.25">
      <c r="C93" s="2">
        <v>40950</v>
      </c>
      <c r="D93" s="2">
        <f t="shared" si="10"/>
        <v>40.950000000000003</v>
      </c>
      <c r="E93" s="2">
        <v>250</v>
      </c>
      <c r="F93" s="3">
        <v>-19.89</v>
      </c>
      <c r="G93" s="3">
        <f t="shared" si="11"/>
        <v>253.26</v>
      </c>
      <c r="H93" s="4">
        <v>3.4299999999999999E-3</v>
      </c>
      <c r="I93" s="2">
        <v>319.16000000000003</v>
      </c>
      <c r="J93" s="5">
        <f t="shared" si="12"/>
        <v>1148.9760000000001</v>
      </c>
      <c r="K93" s="2">
        <v>1.6242799999999999</v>
      </c>
      <c r="L93" s="5">
        <f t="shared" si="13"/>
        <v>1148.9760000000001</v>
      </c>
      <c r="M93" s="5">
        <f t="shared" si="14"/>
        <v>2297.9520000000002</v>
      </c>
      <c r="N93" s="5">
        <f t="shared" si="15"/>
        <v>4595.9040000000005</v>
      </c>
      <c r="O93" s="5">
        <f t="shared" si="16"/>
        <v>6893.8560000000007</v>
      </c>
      <c r="P93" s="5">
        <f t="shared" si="17"/>
        <v>9191.8080000000009</v>
      </c>
      <c r="Q93" s="5">
        <f t="shared" si="18"/>
        <v>4411.6125730689319</v>
      </c>
      <c r="R93" s="5">
        <f t="shared" si="19"/>
        <v>7985.5819167433056</v>
      </c>
    </row>
    <row r="94" spans="3:18" x14ac:dyDescent="0.25">
      <c r="C94" s="2">
        <v>41860</v>
      </c>
      <c r="D94" s="2">
        <f t="shared" si="10"/>
        <v>41.86</v>
      </c>
      <c r="E94" s="2">
        <v>221</v>
      </c>
      <c r="F94" s="3">
        <v>-17.350000000000001</v>
      </c>
      <c r="G94" s="3">
        <f t="shared" si="11"/>
        <v>255.79999999999998</v>
      </c>
      <c r="H94" s="4">
        <v>3.0100000000000001E-3</v>
      </c>
      <c r="I94" s="2">
        <v>320.76</v>
      </c>
      <c r="J94" s="5">
        <f t="shared" si="12"/>
        <v>1154.7360000000001</v>
      </c>
      <c r="K94" s="2">
        <v>1.63754</v>
      </c>
      <c r="L94" s="5">
        <f t="shared" si="13"/>
        <v>1154.7360000000001</v>
      </c>
      <c r="M94" s="5">
        <f t="shared" si="14"/>
        <v>2309.4720000000002</v>
      </c>
      <c r="N94" s="5">
        <f t="shared" si="15"/>
        <v>4618.9440000000004</v>
      </c>
      <c r="O94" s="5">
        <f t="shared" si="16"/>
        <v>6928.4160000000011</v>
      </c>
      <c r="P94" s="5">
        <f t="shared" si="17"/>
        <v>9237.8880000000008</v>
      </c>
      <c r="Q94" s="5">
        <f t="shared" si="18"/>
        <v>4404.1517079023279</v>
      </c>
      <c r="R94" s="5">
        <f t="shared" si="19"/>
        <v>7981.5236998462451</v>
      </c>
    </row>
    <row r="95" spans="3:18" x14ac:dyDescent="0.25">
      <c r="C95" s="2">
        <v>42780</v>
      </c>
      <c r="D95" s="2">
        <f t="shared" si="10"/>
        <v>42.78</v>
      </c>
      <c r="E95" s="2">
        <v>195</v>
      </c>
      <c r="F95" s="3">
        <v>-14.77</v>
      </c>
      <c r="G95" s="3">
        <f t="shared" si="11"/>
        <v>258.38</v>
      </c>
      <c r="H95" s="4">
        <v>2.64E-3</v>
      </c>
      <c r="I95" s="2">
        <v>322.37</v>
      </c>
      <c r="J95" s="5">
        <f t="shared" si="12"/>
        <v>1160.5320000000002</v>
      </c>
      <c r="K95" s="2">
        <v>1.6508799999999999</v>
      </c>
      <c r="L95" s="5">
        <f t="shared" si="13"/>
        <v>1160.5320000000002</v>
      </c>
      <c r="M95" s="5">
        <f t="shared" si="14"/>
        <v>2321.0640000000003</v>
      </c>
      <c r="N95" s="5">
        <f t="shared" si="15"/>
        <v>4642.1280000000006</v>
      </c>
      <c r="O95" s="5">
        <f t="shared" si="16"/>
        <v>6963.1920000000009</v>
      </c>
      <c r="P95" s="5">
        <f t="shared" si="17"/>
        <v>9284.2560000000012</v>
      </c>
      <c r="Q95" s="5">
        <f t="shared" si="18"/>
        <v>4396.4626896558666</v>
      </c>
      <c r="R95" s="5">
        <f t="shared" si="19"/>
        <v>7977.2226204269537</v>
      </c>
    </row>
    <row r="96" spans="3:18" x14ac:dyDescent="0.25">
      <c r="C96" s="2">
        <v>43710</v>
      </c>
      <c r="D96" s="2">
        <f t="shared" si="10"/>
        <v>43.71</v>
      </c>
      <c r="E96" s="2">
        <v>173</v>
      </c>
      <c r="F96" s="3">
        <v>-12.17</v>
      </c>
      <c r="G96" s="3">
        <f t="shared" si="11"/>
        <v>260.97999999999996</v>
      </c>
      <c r="H96" s="4">
        <v>2.31E-3</v>
      </c>
      <c r="I96" s="2">
        <v>323.98</v>
      </c>
      <c r="J96" s="5">
        <f t="shared" si="12"/>
        <v>1166.3280000000002</v>
      </c>
      <c r="K96" s="2">
        <v>1.6642999999999999</v>
      </c>
      <c r="L96" s="5">
        <f t="shared" si="13"/>
        <v>1166.3280000000002</v>
      </c>
      <c r="M96" s="5">
        <f t="shared" si="14"/>
        <v>2332.6560000000004</v>
      </c>
      <c r="N96" s="5">
        <f t="shared" si="15"/>
        <v>4665.3120000000008</v>
      </c>
      <c r="O96" s="5">
        <f t="shared" si="16"/>
        <v>6997.9680000000008</v>
      </c>
      <c r="P96" s="5">
        <f t="shared" si="17"/>
        <v>9330.6240000000016</v>
      </c>
      <c r="Q96" s="5">
        <f t="shared" si="18"/>
        <v>4388.6423179071471</v>
      </c>
      <c r="R96" s="5">
        <f t="shared" si="19"/>
        <v>7972.7798348933875</v>
      </c>
    </row>
    <row r="97" spans="3:18" x14ac:dyDescent="0.25">
      <c r="C97" s="2">
        <v>44650</v>
      </c>
      <c r="D97" s="2">
        <f t="shared" si="10"/>
        <v>44.65</v>
      </c>
      <c r="E97" s="2">
        <v>153</v>
      </c>
      <c r="F97" s="3">
        <v>-9.5299999999999994</v>
      </c>
      <c r="G97" s="3">
        <f t="shared" si="11"/>
        <v>263.62</v>
      </c>
      <c r="H97" s="4">
        <v>2.0200000000000001E-3</v>
      </c>
      <c r="I97" s="2">
        <v>325.61</v>
      </c>
      <c r="J97" s="5">
        <f t="shared" si="12"/>
        <v>1172.1960000000001</v>
      </c>
      <c r="K97" s="2">
        <v>1.67781</v>
      </c>
      <c r="L97" s="5">
        <f t="shared" si="13"/>
        <v>1172.1960000000001</v>
      </c>
      <c r="M97" s="5">
        <f t="shared" si="14"/>
        <v>2344.3920000000003</v>
      </c>
      <c r="N97" s="5">
        <f t="shared" si="15"/>
        <v>4688.7840000000006</v>
      </c>
      <c r="O97" s="5">
        <f t="shared" si="16"/>
        <v>7033.1760000000013</v>
      </c>
      <c r="P97" s="5">
        <f t="shared" si="17"/>
        <v>9377.5680000000011</v>
      </c>
      <c r="Q97" s="5">
        <f t="shared" si="18"/>
        <v>4380.7356971139634</v>
      </c>
      <c r="R97" s="5">
        <f t="shared" si="19"/>
        <v>7968.3531297283207</v>
      </c>
    </row>
    <row r="98" spans="3:18" x14ac:dyDescent="0.25">
      <c r="C98" s="2">
        <v>45600</v>
      </c>
      <c r="D98" s="2">
        <f t="shared" si="10"/>
        <v>45.6</v>
      </c>
      <c r="E98" s="2">
        <v>135</v>
      </c>
      <c r="F98" s="3">
        <v>-6.87</v>
      </c>
      <c r="G98" s="3">
        <f t="shared" si="11"/>
        <v>266.27999999999997</v>
      </c>
      <c r="H98" s="4">
        <v>1.7700000000000001E-3</v>
      </c>
      <c r="I98" s="2">
        <v>327.24</v>
      </c>
      <c r="J98" s="5">
        <f t="shared" si="12"/>
        <v>1178.0640000000001</v>
      </c>
      <c r="K98" s="2">
        <v>1.6913899999999999</v>
      </c>
      <c r="L98" s="5">
        <f t="shared" si="13"/>
        <v>1178.0640000000001</v>
      </c>
      <c r="M98" s="5">
        <f t="shared" si="14"/>
        <v>2356.1280000000002</v>
      </c>
      <c r="N98" s="5">
        <f t="shared" si="15"/>
        <v>4712.2560000000003</v>
      </c>
      <c r="O98" s="5">
        <f t="shared" si="16"/>
        <v>7068.384</v>
      </c>
      <c r="P98" s="5">
        <f t="shared" si="17"/>
        <v>9424.5120000000006</v>
      </c>
      <c r="Q98" s="5">
        <f t="shared" si="18"/>
        <v>4372.70109716147</v>
      </c>
      <c r="R98" s="5">
        <f t="shared" si="19"/>
        <v>7963.7921801508755</v>
      </c>
    </row>
    <row r="99" spans="3:18" x14ac:dyDescent="0.25">
      <c r="C99" s="2">
        <v>46560</v>
      </c>
      <c r="D99" s="2">
        <f t="shared" si="10"/>
        <v>46.56</v>
      </c>
      <c r="E99" s="2">
        <v>120</v>
      </c>
      <c r="F99" s="3">
        <v>-4.1900000000000004</v>
      </c>
      <c r="G99" s="3">
        <f t="shared" si="11"/>
        <v>268.95999999999998</v>
      </c>
      <c r="H99" s="4">
        <v>1.5499999999999999E-3</v>
      </c>
      <c r="I99" s="2">
        <v>328.88</v>
      </c>
      <c r="J99" s="5">
        <f t="shared" si="12"/>
        <v>1183.9680000000001</v>
      </c>
      <c r="K99" s="2">
        <v>1.70505</v>
      </c>
      <c r="L99" s="5">
        <f t="shared" si="13"/>
        <v>1183.9680000000001</v>
      </c>
      <c r="M99" s="5">
        <f t="shared" si="14"/>
        <v>2367.9360000000001</v>
      </c>
      <c r="N99" s="5">
        <f t="shared" si="15"/>
        <v>4735.8720000000003</v>
      </c>
      <c r="O99" s="5">
        <f t="shared" si="16"/>
        <v>7103.8080000000009</v>
      </c>
      <c r="P99" s="5">
        <f t="shared" si="17"/>
        <v>9471.7440000000006</v>
      </c>
      <c r="Q99" s="5">
        <f t="shared" si="18"/>
        <v>4364.6727685322776</v>
      </c>
      <c r="R99" s="5">
        <f t="shared" si="19"/>
        <v>7959.3420914605431</v>
      </c>
    </row>
    <row r="100" spans="3:18" x14ac:dyDescent="0.25">
      <c r="C100" s="2">
        <v>47530</v>
      </c>
      <c r="D100" s="2">
        <f t="shared" si="10"/>
        <v>47.53</v>
      </c>
      <c r="E100" s="2">
        <v>108</v>
      </c>
      <c r="F100" s="3">
        <v>-2.5</v>
      </c>
      <c r="G100" s="3">
        <f t="shared" si="11"/>
        <v>270.64999999999998</v>
      </c>
      <c r="H100" s="4">
        <v>1.4E-3</v>
      </c>
      <c r="I100" s="2">
        <v>329.91</v>
      </c>
      <c r="J100" s="5">
        <f t="shared" si="12"/>
        <v>1187.6760000000002</v>
      </c>
      <c r="K100" s="2">
        <v>1.7135800000000001</v>
      </c>
      <c r="L100" s="5">
        <f t="shared" si="13"/>
        <v>1187.6760000000002</v>
      </c>
      <c r="M100" s="5">
        <f t="shared" si="14"/>
        <v>2375.3520000000003</v>
      </c>
      <c r="N100" s="5">
        <f t="shared" si="15"/>
        <v>4750.7040000000006</v>
      </c>
      <c r="O100" s="5">
        <f t="shared" si="16"/>
        <v>7126.0560000000005</v>
      </c>
      <c r="P100" s="5">
        <f t="shared" si="17"/>
        <v>9501.4080000000013</v>
      </c>
      <c r="Q100" s="5">
        <f t="shared" si="18"/>
        <v>4359.6031794553846</v>
      </c>
      <c r="R100" s="5">
        <f t="shared" si="19"/>
        <v>7956.5356198884238</v>
      </c>
    </row>
    <row r="101" spans="3:18" x14ac:dyDescent="0.25">
      <c r="C101" s="2">
        <v>48510</v>
      </c>
      <c r="D101" s="2">
        <f t="shared" si="10"/>
        <v>48.51</v>
      </c>
      <c r="E101" s="2">
        <v>96</v>
      </c>
      <c r="F101" s="3">
        <v>-2.5</v>
      </c>
      <c r="G101" s="3">
        <f t="shared" si="11"/>
        <v>270.64999999999998</v>
      </c>
      <c r="H101" s="4">
        <v>1.23E-3</v>
      </c>
      <c r="I101" s="2">
        <v>329.91</v>
      </c>
      <c r="J101" s="5">
        <f t="shared" si="12"/>
        <v>1187.6760000000002</v>
      </c>
      <c r="K101" s="2">
        <v>1.7135800000000001</v>
      </c>
      <c r="L101" s="5">
        <f t="shared" si="13"/>
        <v>1187.6760000000002</v>
      </c>
      <c r="M101" s="5">
        <f t="shared" si="14"/>
        <v>2375.3520000000003</v>
      </c>
      <c r="N101" s="5">
        <f t="shared" si="15"/>
        <v>4750.7040000000006</v>
      </c>
      <c r="O101" s="5">
        <f t="shared" si="16"/>
        <v>7126.0560000000005</v>
      </c>
      <c r="P101" s="5">
        <f t="shared" si="17"/>
        <v>9501.4080000000013</v>
      </c>
      <c r="Q101" s="5">
        <f t="shared" si="18"/>
        <v>4359.6031794553846</v>
      </c>
      <c r="R101" s="5">
        <f t="shared" si="19"/>
        <v>7956.5356198884238</v>
      </c>
    </row>
    <row r="102" spans="3:18" x14ac:dyDescent="0.25">
      <c r="C102" s="2">
        <v>49500</v>
      </c>
      <c r="D102" s="2">
        <f t="shared" si="10"/>
        <v>49.5</v>
      </c>
      <c r="E102" s="2">
        <v>85</v>
      </c>
      <c r="F102" s="3">
        <v>-2.5</v>
      </c>
      <c r="G102" s="3">
        <f t="shared" si="11"/>
        <v>270.64999999999998</v>
      </c>
      <c r="H102" s="4">
        <v>1.09E-3</v>
      </c>
      <c r="I102" s="2">
        <v>329.91</v>
      </c>
      <c r="J102" s="5">
        <f t="shared" si="12"/>
        <v>1187.6760000000002</v>
      </c>
      <c r="K102" s="2">
        <v>1.7135800000000001</v>
      </c>
      <c r="L102" s="5">
        <f t="shared" si="13"/>
        <v>1187.6760000000002</v>
      </c>
      <c r="M102" s="5">
        <f t="shared" si="14"/>
        <v>2375.3520000000003</v>
      </c>
      <c r="N102" s="5">
        <f t="shared" si="15"/>
        <v>4750.7040000000006</v>
      </c>
      <c r="O102" s="5">
        <f t="shared" si="16"/>
        <v>7126.0560000000005</v>
      </c>
      <c r="P102" s="5">
        <f t="shared" si="17"/>
        <v>9501.4080000000013</v>
      </c>
      <c r="Q102" s="5">
        <f t="shared" si="18"/>
        <v>4359.6031794553846</v>
      </c>
      <c r="R102" s="5">
        <f t="shared" si="19"/>
        <v>7956.5356198884238</v>
      </c>
    </row>
    <row r="103" spans="3:18" x14ac:dyDescent="0.25">
      <c r="C103" s="2">
        <v>50500</v>
      </c>
      <c r="D103" s="2">
        <f t="shared" si="10"/>
        <v>50.5</v>
      </c>
      <c r="E103" s="2">
        <v>75</v>
      </c>
      <c r="F103" s="3">
        <v>-2.5</v>
      </c>
      <c r="G103" s="3">
        <f t="shared" si="11"/>
        <v>270.64999999999998</v>
      </c>
      <c r="H103" s="4">
        <v>9.6000000000000002E-4</v>
      </c>
      <c r="I103" s="2">
        <v>329.91</v>
      </c>
      <c r="J103" s="5">
        <f t="shared" si="12"/>
        <v>1187.6760000000002</v>
      </c>
      <c r="K103" s="2">
        <v>1.7135800000000001</v>
      </c>
      <c r="L103" s="5">
        <f t="shared" si="13"/>
        <v>1187.6760000000002</v>
      </c>
      <c r="M103" s="5">
        <f t="shared" si="14"/>
        <v>2375.3520000000003</v>
      </c>
      <c r="N103" s="5">
        <f t="shared" si="15"/>
        <v>4750.7040000000006</v>
      </c>
      <c r="O103" s="5">
        <f t="shared" si="16"/>
        <v>7126.0560000000005</v>
      </c>
      <c r="P103" s="5">
        <f t="shared" si="17"/>
        <v>9501.4080000000013</v>
      </c>
      <c r="Q103" s="5">
        <f t="shared" si="18"/>
        <v>4359.6031794553846</v>
      </c>
      <c r="R103" s="5">
        <f t="shared" si="19"/>
        <v>7956.5356198884238</v>
      </c>
    </row>
    <row r="104" spans="3:18" x14ac:dyDescent="0.25">
      <c r="C104" s="2">
        <v>51510</v>
      </c>
      <c r="D104" s="2">
        <f t="shared" si="10"/>
        <v>51.51</v>
      </c>
      <c r="E104" s="2">
        <v>66</v>
      </c>
      <c r="F104" s="3">
        <v>-2.5</v>
      </c>
      <c r="G104" s="3">
        <f t="shared" si="11"/>
        <v>270.64999999999998</v>
      </c>
      <c r="H104" s="4">
        <v>8.4000000000000003E-4</v>
      </c>
      <c r="I104" s="2">
        <v>329.91</v>
      </c>
      <c r="J104" s="5">
        <f t="shared" si="12"/>
        <v>1187.6760000000002</v>
      </c>
      <c r="K104" s="2">
        <v>1.7135800000000001</v>
      </c>
      <c r="L104" s="5">
        <f t="shared" si="13"/>
        <v>1187.6760000000002</v>
      </c>
      <c r="M104" s="5">
        <f t="shared" si="14"/>
        <v>2375.3520000000003</v>
      </c>
      <c r="N104" s="5">
        <f t="shared" si="15"/>
        <v>4750.7040000000006</v>
      </c>
      <c r="O104" s="5">
        <f t="shared" si="16"/>
        <v>7126.0560000000005</v>
      </c>
      <c r="P104" s="5">
        <f t="shared" si="17"/>
        <v>9501.4080000000013</v>
      </c>
      <c r="Q104" s="5">
        <f t="shared" si="18"/>
        <v>4359.6031794553846</v>
      </c>
      <c r="R104" s="5">
        <f t="shared" si="19"/>
        <v>7956.5356198884238</v>
      </c>
    </row>
    <row r="105" spans="3:18" x14ac:dyDescent="0.25">
      <c r="C105" s="2">
        <v>52530</v>
      </c>
      <c r="D105" s="2">
        <f t="shared" si="10"/>
        <v>52.53</v>
      </c>
      <c r="E105" s="2">
        <v>58</v>
      </c>
      <c r="F105" s="3">
        <v>-2.7</v>
      </c>
      <c r="G105" s="3">
        <f t="shared" si="11"/>
        <v>270.45</v>
      </c>
      <c r="H105" s="4">
        <v>7.5000000000000002E-4</v>
      </c>
      <c r="I105" s="2">
        <v>329.79</v>
      </c>
      <c r="J105" s="5">
        <f t="shared" si="12"/>
        <v>1187.2440000000001</v>
      </c>
      <c r="K105" s="2">
        <v>1.7125699999999999</v>
      </c>
      <c r="L105" s="5">
        <f t="shared" si="13"/>
        <v>1187.2440000000001</v>
      </c>
      <c r="M105" s="5">
        <f t="shared" si="14"/>
        <v>2374.4880000000003</v>
      </c>
      <c r="N105" s="5">
        <f t="shared" si="15"/>
        <v>4748.9760000000006</v>
      </c>
      <c r="O105" s="5">
        <f t="shared" si="16"/>
        <v>7123.4640000000009</v>
      </c>
      <c r="P105" s="5">
        <f t="shared" si="17"/>
        <v>9497.9520000000011</v>
      </c>
      <c r="Q105" s="5">
        <f t="shared" si="18"/>
        <v>4360.2262344589917</v>
      </c>
      <c r="R105" s="5">
        <f t="shared" si="19"/>
        <v>7956.9094053124663</v>
      </c>
    </row>
    <row r="106" spans="3:18" x14ac:dyDescent="0.25">
      <c r="C106" s="2">
        <v>53560</v>
      </c>
      <c r="D106" s="2">
        <f t="shared" si="10"/>
        <v>53.56</v>
      </c>
      <c r="E106" s="2">
        <v>51</v>
      </c>
      <c r="F106" s="3">
        <v>-4.76</v>
      </c>
      <c r="G106" s="3">
        <f t="shared" si="11"/>
        <v>268.39</v>
      </c>
      <c r="H106" s="4">
        <v>6.6E-4</v>
      </c>
      <c r="I106" s="2">
        <v>328.53</v>
      </c>
      <c r="J106" s="5">
        <f t="shared" si="12"/>
        <v>1182.7079999999999</v>
      </c>
      <c r="K106" s="2">
        <v>1.70214</v>
      </c>
      <c r="L106" s="5">
        <f t="shared" si="13"/>
        <v>1182.7079999999999</v>
      </c>
      <c r="M106" s="5">
        <f t="shared" si="14"/>
        <v>2365.4159999999997</v>
      </c>
      <c r="N106" s="5">
        <f t="shared" si="15"/>
        <v>4730.8319999999994</v>
      </c>
      <c r="O106" s="5">
        <f t="shared" si="16"/>
        <v>7096.2479999999996</v>
      </c>
      <c r="P106" s="5">
        <f t="shared" si="17"/>
        <v>9461.6639999999989</v>
      </c>
      <c r="Q106" s="5">
        <f t="shared" si="18"/>
        <v>4366.3564625742174</v>
      </c>
      <c r="R106" s="5">
        <f t="shared" si="19"/>
        <v>7960.2431156375997</v>
      </c>
    </row>
    <row r="107" spans="3:18" x14ac:dyDescent="0.25">
      <c r="C107" s="2">
        <v>54600</v>
      </c>
      <c r="D107" s="2">
        <f t="shared" si="10"/>
        <v>54.6</v>
      </c>
      <c r="E107" s="2">
        <v>45</v>
      </c>
      <c r="F107" s="3">
        <v>-6.84</v>
      </c>
      <c r="G107" s="3">
        <f t="shared" si="11"/>
        <v>266.31</v>
      </c>
      <c r="H107" s="4">
        <v>5.9000000000000003E-4</v>
      </c>
      <c r="I107" s="2">
        <v>327.26</v>
      </c>
      <c r="J107" s="5">
        <f t="shared" si="12"/>
        <v>1178.136</v>
      </c>
      <c r="K107" s="2">
        <v>1.69156</v>
      </c>
      <c r="L107" s="5">
        <f t="shared" si="13"/>
        <v>1178.136</v>
      </c>
      <c r="M107" s="5">
        <f t="shared" si="14"/>
        <v>2356.2719999999999</v>
      </c>
      <c r="N107" s="5">
        <f t="shared" si="15"/>
        <v>4712.5439999999999</v>
      </c>
      <c r="O107" s="5">
        <f t="shared" si="16"/>
        <v>7068.8159999999998</v>
      </c>
      <c r="P107" s="5">
        <f t="shared" si="17"/>
        <v>9425.0879999999997</v>
      </c>
      <c r="Q107" s="5">
        <f t="shared" si="18"/>
        <v>4372.6326328443574</v>
      </c>
      <c r="R107" s="5">
        <f t="shared" si="19"/>
        <v>7963.7812172433205</v>
      </c>
    </row>
    <row r="108" spans="3:18" x14ac:dyDescent="0.25">
      <c r="C108" s="2">
        <v>55650</v>
      </c>
      <c r="D108" s="2">
        <f t="shared" si="10"/>
        <v>55.65</v>
      </c>
      <c r="E108" s="2">
        <v>39</v>
      </c>
      <c r="F108" s="3">
        <v>-8.94</v>
      </c>
      <c r="G108" s="3">
        <f t="shared" si="11"/>
        <v>264.20999999999998</v>
      </c>
      <c r="H108" s="4">
        <v>5.1999999999999995E-4</v>
      </c>
      <c r="I108" s="2">
        <v>325.97000000000003</v>
      </c>
      <c r="J108" s="5">
        <f t="shared" si="12"/>
        <v>1173.4920000000002</v>
      </c>
      <c r="K108" s="2">
        <v>1.6808399999999999</v>
      </c>
      <c r="L108" s="5">
        <f t="shared" si="13"/>
        <v>1173.4920000000002</v>
      </c>
      <c r="M108" s="5">
        <f t="shared" si="14"/>
        <v>2346.9840000000004</v>
      </c>
      <c r="N108" s="5">
        <f t="shared" si="15"/>
        <v>4693.9680000000008</v>
      </c>
      <c r="O108" s="5">
        <f t="shared" si="16"/>
        <v>7040.9520000000011</v>
      </c>
      <c r="P108" s="5">
        <f t="shared" si="17"/>
        <v>9387.9360000000015</v>
      </c>
      <c r="Q108" s="5">
        <f t="shared" si="18"/>
        <v>4378.9244308987254</v>
      </c>
      <c r="R108" s="5">
        <f t="shared" si="19"/>
        <v>7967.286444747213</v>
      </c>
    </row>
    <row r="109" spans="3:18" x14ac:dyDescent="0.25">
      <c r="C109" s="2">
        <v>56710</v>
      </c>
      <c r="D109" s="2">
        <f t="shared" si="10"/>
        <v>56.71</v>
      </c>
      <c r="E109" s="2">
        <v>34</v>
      </c>
      <c r="F109" s="3">
        <v>-11.06</v>
      </c>
      <c r="G109" s="3">
        <f t="shared" si="11"/>
        <v>262.08999999999997</v>
      </c>
      <c r="H109" s="4">
        <v>4.4999999999999999E-4</v>
      </c>
      <c r="I109" s="2">
        <v>324.67</v>
      </c>
      <c r="J109" s="5">
        <f t="shared" si="12"/>
        <v>1168.8120000000001</v>
      </c>
      <c r="K109" s="2">
        <v>1.66998</v>
      </c>
      <c r="L109" s="5">
        <f t="shared" si="13"/>
        <v>1168.8120000000001</v>
      </c>
      <c r="M109" s="5">
        <f t="shared" si="14"/>
        <v>2337.6240000000003</v>
      </c>
      <c r="N109" s="5">
        <f t="shared" si="15"/>
        <v>4675.2480000000005</v>
      </c>
      <c r="O109" s="5">
        <f t="shared" si="16"/>
        <v>7012.8720000000012</v>
      </c>
      <c r="P109" s="5">
        <f t="shared" si="17"/>
        <v>9350.496000000001</v>
      </c>
      <c r="Q109" s="5">
        <f t="shared" si="18"/>
        <v>4385.3689413326892</v>
      </c>
      <c r="R109" s="5">
        <f t="shared" si="19"/>
        <v>7971.0085124630614</v>
      </c>
    </row>
    <row r="110" spans="3:18" x14ac:dyDescent="0.25">
      <c r="C110" s="2">
        <v>57780</v>
      </c>
      <c r="D110" s="2">
        <f t="shared" si="10"/>
        <v>57.78</v>
      </c>
      <c r="E110" s="2">
        <v>30</v>
      </c>
      <c r="F110" s="3">
        <v>-13.2</v>
      </c>
      <c r="G110" s="3">
        <f t="shared" si="11"/>
        <v>259.95</v>
      </c>
      <c r="H110" s="4">
        <v>4.0000000000000002E-4</v>
      </c>
      <c r="I110" s="2">
        <v>323.33999999999997</v>
      </c>
      <c r="J110" s="5">
        <f t="shared" si="12"/>
        <v>1164.0239999999999</v>
      </c>
      <c r="K110" s="2">
        <v>1.6589799999999999</v>
      </c>
      <c r="L110" s="5">
        <f t="shared" si="13"/>
        <v>1164.0239999999999</v>
      </c>
      <c r="M110" s="5">
        <f t="shared" si="14"/>
        <v>2328.0479999999998</v>
      </c>
      <c r="N110" s="5">
        <f t="shared" si="15"/>
        <v>4656.0959999999995</v>
      </c>
      <c r="O110" s="5">
        <f t="shared" si="16"/>
        <v>6984.1439999999993</v>
      </c>
      <c r="P110" s="5">
        <f t="shared" si="17"/>
        <v>9312.1919999999991</v>
      </c>
      <c r="Q110" s="5">
        <f t="shared" si="18"/>
        <v>4391.6989079329414</v>
      </c>
      <c r="R110" s="5">
        <f t="shared" si="19"/>
        <v>7974.4619267592188</v>
      </c>
    </row>
    <row r="111" spans="3:18" x14ac:dyDescent="0.25">
      <c r="C111" s="2">
        <v>58860</v>
      </c>
      <c r="D111" s="2">
        <f t="shared" si="10"/>
        <v>58.86</v>
      </c>
      <c r="E111" s="2">
        <v>26</v>
      </c>
      <c r="F111" s="3">
        <v>-15.36</v>
      </c>
      <c r="G111" s="3">
        <f t="shared" si="11"/>
        <v>257.78999999999996</v>
      </c>
      <c r="H111" s="4">
        <v>3.5E-4</v>
      </c>
      <c r="I111" s="2">
        <v>322</v>
      </c>
      <c r="J111" s="5">
        <f t="shared" si="12"/>
        <v>1159.2</v>
      </c>
      <c r="K111" s="2">
        <v>1.6478299999999999</v>
      </c>
      <c r="L111" s="5">
        <f t="shared" si="13"/>
        <v>1159.2</v>
      </c>
      <c r="M111" s="5">
        <f t="shared" si="14"/>
        <v>2318.4</v>
      </c>
      <c r="N111" s="5">
        <f t="shared" si="15"/>
        <v>4636.8</v>
      </c>
      <c r="O111" s="5">
        <f t="shared" si="16"/>
        <v>6955.2000000000007</v>
      </c>
      <c r="P111" s="5">
        <f t="shared" si="17"/>
        <v>9273.6</v>
      </c>
      <c r="Q111" s="5">
        <f t="shared" si="18"/>
        <v>4398.1875220017582</v>
      </c>
      <c r="R111" s="5">
        <f t="shared" si="19"/>
        <v>7978.143507888808</v>
      </c>
    </row>
    <row r="112" spans="3:18" x14ac:dyDescent="0.25">
      <c r="C112" s="2">
        <v>59950</v>
      </c>
      <c r="D112" s="2">
        <f t="shared" si="10"/>
        <v>59.95</v>
      </c>
      <c r="E112" s="2">
        <v>22</v>
      </c>
      <c r="F112" s="3">
        <v>-17.54</v>
      </c>
      <c r="G112" s="3">
        <f t="shared" si="11"/>
        <v>255.60999999999999</v>
      </c>
      <c r="H112" s="4">
        <v>2.9999999999999997E-4</v>
      </c>
      <c r="I112" s="2">
        <v>320.64</v>
      </c>
      <c r="J112" s="5">
        <f t="shared" si="12"/>
        <v>1154.3040000000001</v>
      </c>
      <c r="K112" s="2">
        <v>1.63653</v>
      </c>
      <c r="L112" s="5">
        <f t="shared" si="13"/>
        <v>1154.3040000000001</v>
      </c>
      <c r="M112" s="5">
        <f t="shared" si="14"/>
        <v>2308.6080000000002</v>
      </c>
      <c r="N112" s="5">
        <f t="shared" si="15"/>
        <v>4617.2160000000003</v>
      </c>
      <c r="O112" s="5">
        <f t="shared" si="16"/>
        <v>6925.8240000000005</v>
      </c>
      <c r="P112" s="5">
        <f t="shared" si="17"/>
        <v>9234.4320000000007</v>
      </c>
      <c r="Q112" s="5">
        <f t="shared" si="18"/>
        <v>4404.7021642363334</v>
      </c>
      <c r="R112" s="5">
        <f t="shared" si="19"/>
        <v>7981.8126874621812</v>
      </c>
    </row>
    <row r="113" spans="3:18" x14ac:dyDescent="0.25">
      <c r="C113" s="2">
        <v>61050</v>
      </c>
      <c r="D113" s="2">
        <f t="shared" si="10"/>
        <v>61.05</v>
      </c>
      <c r="E113" s="2">
        <v>19</v>
      </c>
      <c r="F113" s="3">
        <v>-19.739999999999998</v>
      </c>
      <c r="G113" s="3">
        <f t="shared" si="11"/>
        <v>253.40999999999997</v>
      </c>
      <c r="H113" s="4">
        <v>2.5999999999999998E-4</v>
      </c>
      <c r="I113" s="2">
        <v>319.26</v>
      </c>
      <c r="J113" s="5">
        <f t="shared" si="12"/>
        <v>1149.336</v>
      </c>
      <c r="K113" s="2">
        <v>1.6250800000000001</v>
      </c>
      <c r="L113" s="5">
        <f t="shared" si="13"/>
        <v>1149.336</v>
      </c>
      <c r="M113" s="5">
        <f t="shared" si="14"/>
        <v>2298.672</v>
      </c>
      <c r="N113" s="5">
        <f t="shared" si="15"/>
        <v>4597.3440000000001</v>
      </c>
      <c r="O113" s="5">
        <f t="shared" si="16"/>
        <v>6896.0159999999996</v>
      </c>
      <c r="P113" s="5">
        <f t="shared" si="17"/>
        <v>9194.6880000000001</v>
      </c>
      <c r="Q113" s="5">
        <f t="shared" si="18"/>
        <v>4411.2454365248932</v>
      </c>
      <c r="R113" s="5">
        <f t="shared" si="19"/>
        <v>7985.4746609717931</v>
      </c>
    </row>
    <row r="114" spans="3:18" x14ac:dyDescent="0.25">
      <c r="C114" s="2">
        <v>62160</v>
      </c>
      <c r="D114" s="2">
        <f t="shared" si="10"/>
        <v>62.16</v>
      </c>
      <c r="E114" s="2">
        <v>17</v>
      </c>
      <c r="F114" s="3">
        <v>-22.78</v>
      </c>
      <c r="G114" s="3">
        <f t="shared" si="11"/>
        <v>250.36999999999998</v>
      </c>
      <c r="H114" s="4">
        <v>2.3000000000000001E-4</v>
      </c>
      <c r="I114" s="2">
        <v>317.33999999999997</v>
      </c>
      <c r="J114" s="5">
        <f t="shared" si="12"/>
        <v>1142.424</v>
      </c>
      <c r="K114" s="2">
        <v>1.6091800000000001</v>
      </c>
      <c r="L114" s="5">
        <f t="shared" si="13"/>
        <v>1142.424</v>
      </c>
      <c r="M114" s="5">
        <f t="shared" si="14"/>
        <v>2284.848</v>
      </c>
      <c r="N114" s="5">
        <f t="shared" si="15"/>
        <v>4569.6959999999999</v>
      </c>
      <c r="O114" s="5">
        <f t="shared" si="16"/>
        <v>6854.5439999999999</v>
      </c>
      <c r="P114" s="5">
        <f t="shared" si="17"/>
        <v>9139.3919999999998</v>
      </c>
      <c r="Q114" s="5">
        <f t="shared" si="18"/>
        <v>4420.2278337840771</v>
      </c>
      <c r="R114" s="5">
        <f t="shared" si="19"/>
        <v>7990.4533751850768</v>
      </c>
    </row>
    <row r="115" spans="3:18" x14ac:dyDescent="0.25">
      <c r="C115" s="2">
        <v>63280</v>
      </c>
      <c r="D115" s="2">
        <f t="shared" si="10"/>
        <v>63.28</v>
      </c>
      <c r="E115" s="2">
        <v>14</v>
      </c>
      <c r="F115" s="3">
        <v>-27.26</v>
      </c>
      <c r="G115" s="3">
        <f t="shared" si="11"/>
        <v>245.89</v>
      </c>
      <c r="H115" s="4">
        <v>2.0000000000000001E-4</v>
      </c>
      <c r="I115" s="2">
        <v>314.49</v>
      </c>
      <c r="J115" s="5">
        <f t="shared" si="12"/>
        <v>1132.164</v>
      </c>
      <c r="K115" s="2">
        <v>1.58558</v>
      </c>
      <c r="L115" s="5">
        <f t="shared" si="13"/>
        <v>1132.164</v>
      </c>
      <c r="M115" s="5">
        <f t="shared" si="14"/>
        <v>2264.328</v>
      </c>
      <c r="N115" s="5">
        <f t="shared" si="15"/>
        <v>4528.6559999999999</v>
      </c>
      <c r="O115" s="5">
        <f t="shared" si="16"/>
        <v>6792.9840000000004</v>
      </c>
      <c r="P115" s="5">
        <f t="shared" si="17"/>
        <v>9057.3119999999999</v>
      </c>
      <c r="Q115" s="5">
        <f t="shared" si="18"/>
        <v>4433.4443344035899</v>
      </c>
      <c r="R115" s="5">
        <f t="shared" si="19"/>
        <v>7997.8070521553154</v>
      </c>
    </row>
    <row r="116" spans="3:18" x14ac:dyDescent="0.25">
      <c r="C116" s="2">
        <v>64410</v>
      </c>
      <c r="D116" s="2">
        <f t="shared" si="10"/>
        <v>64.41</v>
      </c>
      <c r="E116" s="2">
        <v>12</v>
      </c>
      <c r="F116" s="3">
        <v>-31.78</v>
      </c>
      <c r="G116" s="3">
        <f t="shared" si="11"/>
        <v>241.36999999999998</v>
      </c>
      <c r="H116" s="4">
        <v>1.8000000000000001E-4</v>
      </c>
      <c r="I116" s="2">
        <v>311.58999999999997</v>
      </c>
      <c r="J116" s="5">
        <f t="shared" si="12"/>
        <v>1121.7239999999999</v>
      </c>
      <c r="K116" s="2">
        <v>1.5615600000000001</v>
      </c>
      <c r="L116" s="5">
        <f t="shared" si="13"/>
        <v>1121.7239999999999</v>
      </c>
      <c r="M116" s="5">
        <f t="shared" si="14"/>
        <v>2243.4479999999999</v>
      </c>
      <c r="N116" s="5">
        <f t="shared" si="15"/>
        <v>4486.8959999999997</v>
      </c>
      <c r="O116" s="5">
        <f t="shared" si="16"/>
        <v>6730.3439999999991</v>
      </c>
      <c r="P116" s="5">
        <f t="shared" si="17"/>
        <v>8973.7919999999995</v>
      </c>
      <c r="Q116" s="5">
        <f t="shared" si="18"/>
        <v>4446.7670134878244</v>
      </c>
      <c r="R116" s="5">
        <f t="shared" si="19"/>
        <v>8005.2695006822387</v>
      </c>
    </row>
    <row r="117" spans="3:18" x14ac:dyDescent="0.25">
      <c r="C117" s="2">
        <v>65550</v>
      </c>
      <c r="D117" s="2">
        <f t="shared" si="10"/>
        <v>65.55</v>
      </c>
      <c r="E117" s="2">
        <v>10</v>
      </c>
      <c r="F117" s="3">
        <v>-36.340000000000003</v>
      </c>
      <c r="G117" s="3">
        <f t="shared" si="11"/>
        <v>236.80999999999997</v>
      </c>
      <c r="H117" s="4">
        <v>1.4999999999999999E-4</v>
      </c>
      <c r="I117" s="2">
        <v>308.64</v>
      </c>
      <c r="J117" s="5">
        <f t="shared" si="12"/>
        <v>1111.104</v>
      </c>
      <c r="K117" s="2">
        <v>1.5370999999999999</v>
      </c>
      <c r="L117" s="5">
        <f t="shared" si="13"/>
        <v>1111.104</v>
      </c>
      <c r="M117" s="5">
        <f t="shared" si="14"/>
        <v>2222.2080000000001</v>
      </c>
      <c r="N117" s="5">
        <f t="shared" si="15"/>
        <v>4444.4160000000002</v>
      </c>
      <c r="O117" s="5">
        <f t="shared" si="16"/>
        <v>6666.6239999999998</v>
      </c>
      <c r="P117" s="5">
        <f t="shared" si="17"/>
        <v>8888.8320000000003</v>
      </c>
      <c r="Q117" s="5">
        <f t="shared" si="18"/>
        <v>4460.2174238766302</v>
      </c>
      <c r="R117" s="5">
        <f t="shared" si="19"/>
        <v>8012.88021901103</v>
      </c>
    </row>
    <row r="118" spans="3:18" x14ac:dyDescent="0.25">
      <c r="C118" s="2">
        <v>66700</v>
      </c>
      <c r="D118" s="2">
        <f t="shared" si="10"/>
        <v>66.7</v>
      </c>
      <c r="E118" s="2">
        <v>9</v>
      </c>
      <c r="F118" s="3">
        <v>-40.94</v>
      </c>
      <c r="G118" s="3">
        <f t="shared" si="11"/>
        <v>232.20999999999998</v>
      </c>
      <c r="H118" s="4">
        <v>1.2999999999999999E-4</v>
      </c>
      <c r="I118" s="2">
        <v>305.63</v>
      </c>
      <c r="J118" s="5">
        <f t="shared" si="12"/>
        <v>1100.268</v>
      </c>
      <c r="K118" s="2">
        <v>1.5122100000000001</v>
      </c>
      <c r="L118" s="5">
        <f t="shared" si="13"/>
        <v>1100.268</v>
      </c>
      <c r="M118" s="5">
        <f t="shared" si="14"/>
        <v>2200.5360000000001</v>
      </c>
      <c r="N118" s="5">
        <f t="shared" si="15"/>
        <v>4401.0720000000001</v>
      </c>
      <c r="O118" s="5">
        <f t="shared" si="16"/>
        <v>6601.6080000000002</v>
      </c>
      <c r="P118" s="5">
        <f t="shared" si="17"/>
        <v>8802.1440000000002</v>
      </c>
      <c r="Q118" s="5">
        <f t="shared" si="18"/>
        <v>4473.6731479498294</v>
      </c>
      <c r="R118" s="5">
        <f t="shared" si="19"/>
        <v>8020.4202560813364</v>
      </c>
    </row>
    <row r="119" spans="3:18" x14ac:dyDescent="0.25">
      <c r="C119" s="2">
        <v>67860</v>
      </c>
      <c r="D119" s="2">
        <f t="shared" si="10"/>
        <v>67.86</v>
      </c>
      <c r="E119" s="2">
        <v>7</v>
      </c>
      <c r="F119" s="3">
        <v>-45.58</v>
      </c>
      <c r="G119" s="3">
        <f t="shared" si="11"/>
        <v>227.57</v>
      </c>
      <c r="H119" s="4">
        <v>1.1E-4</v>
      </c>
      <c r="I119" s="2">
        <v>302.56</v>
      </c>
      <c r="J119" s="5">
        <f t="shared" si="12"/>
        <v>1089.2160000000001</v>
      </c>
      <c r="K119" s="2">
        <v>1.4868600000000001</v>
      </c>
      <c r="L119" s="5">
        <f t="shared" si="13"/>
        <v>1089.2160000000001</v>
      </c>
      <c r="M119" s="5">
        <f t="shared" si="14"/>
        <v>2178.4320000000002</v>
      </c>
      <c r="N119" s="5">
        <f t="shared" si="15"/>
        <v>4356.8640000000005</v>
      </c>
      <c r="O119" s="5">
        <f t="shared" si="16"/>
        <v>6535.2960000000003</v>
      </c>
      <c r="P119" s="5">
        <f t="shared" si="17"/>
        <v>8713.728000000001</v>
      </c>
      <c r="Q119" s="5">
        <f t="shared" si="18"/>
        <v>4487.1550456574187</v>
      </c>
      <c r="R119" s="5">
        <f t="shared" si="19"/>
        <v>8027.9287985601768</v>
      </c>
    </row>
    <row r="120" spans="3:18" x14ac:dyDescent="0.25">
      <c r="C120" s="2">
        <v>69030</v>
      </c>
      <c r="D120" s="2">
        <f t="shared" si="10"/>
        <v>69.03</v>
      </c>
      <c r="E120" s="2">
        <v>6</v>
      </c>
      <c r="F120" s="3">
        <v>-50.26</v>
      </c>
      <c r="G120" s="3">
        <f t="shared" si="11"/>
        <v>222.89</v>
      </c>
      <c r="H120" s="4">
        <v>1E-4</v>
      </c>
      <c r="I120" s="2">
        <v>299.43</v>
      </c>
      <c r="J120" s="5">
        <f t="shared" si="12"/>
        <v>1077.9480000000001</v>
      </c>
      <c r="K120" s="2">
        <v>1.4610300000000001</v>
      </c>
      <c r="L120" s="5">
        <f t="shared" si="13"/>
        <v>1077.9480000000001</v>
      </c>
      <c r="M120" s="5">
        <f t="shared" si="14"/>
        <v>2155.8960000000002</v>
      </c>
      <c r="N120" s="5">
        <f t="shared" si="15"/>
        <v>4311.7920000000004</v>
      </c>
      <c r="O120" s="5">
        <f t="shared" si="16"/>
        <v>6467.6880000000001</v>
      </c>
      <c r="P120" s="5">
        <f t="shared" si="17"/>
        <v>8623.5840000000007</v>
      </c>
      <c r="Q120" s="5">
        <f t="shared" si="18"/>
        <v>4500.6865742733571</v>
      </c>
      <c r="R120" s="5">
        <f t="shared" si="19"/>
        <v>8035.4493401778109</v>
      </c>
    </row>
    <row r="121" spans="3:18" x14ac:dyDescent="0.25">
      <c r="C121" s="2">
        <v>70210</v>
      </c>
      <c r="D121" s="2">
        <f t="shared" si="10"/>
        <v>70.209999999999994</v>
      </c>
      <c r="E121" s="2">
        <v>5</v>
      </c>
      <c r="F121" s="3">
        <v>-54.98</v>
      </c>
      <c r="G121" s="3">
        <f t="shared" si="11"/>
        <v>218.17</v>
      </c>
      <c r="H121" s="4">
        <v>8.0000000000000007E-5</v>
      </c>
      <c r="I121" s="2">
        <v>296.24</v>
      </c>
      <c r="J121" s="5">
        <f t="shared" si="12"/>
        <v>1066.4640000000002</v>
      </c>
      <c r="K121" s="2">
        <v>1.43472</v>
      </c>
      <c r="L121" s="5">
        <f t="shared" si="13"/>
        <v>1066.4640000000002</v>
      </c>
      <c r="M121" s="5">
        <f t="shared" si="14"/>
        <v>2132.9280000000003</v>
      </c>
      <c r="N121" s="5">
        <f t="shared" si="15"/>
        <v>4265.8560000000007</v>
      </c>
      <c r="O121" s="5">
        <f t="shared" si="16"/>
        <v>6398.7840000000015</v>
      </c>
      <c r="P121" s="5">
        <f t="shared" si="17"/>
        <v>8531.7120000000014</v>
      </c>
      <c r="Q121" s="5">
        <f t="shared" si="18"/>
        <v>4514.2941238067096</v>
      </c>
      <c r="R121" s="5">
        <f t="shared" si="19"/>
        <v>8043.030232185667</v>
      </c>
    </row>
    <row r="122" spans="3:18" x14ac:dyDescent="0.25">
      <c r="C122" s="2">
        <v>71400</v>
      </c>
      <c r="D122" s="2">
        <f t="shared" si="10"/>
        <v>71.400000000000006</v>
      </c>
      <c r="E122" s="2">
        <v>4</v>
      </c>
      <c r="F122" s="3">
        <v>-59.74</v>
      </c>
      <c r="G122" s="3">
        <f t="shared" si="11"/>
        <v>213.40999999999997</v>
      </c>
      <c r="H122" s="4">
        <v>6.9999999999999994E-5</v>
      </c>
      <c r="I122" s="2">
        <v>292.99</v>
      </c>
      <c r="J122" s="5">
        <f t="shared" si="12"/>
        <v>1054.7640000000001</v>
      </c>
      <c r="K122" s="2">
        <v>1.40791</v>
      </c>
      <c r="L122" s="5">
        <f t="shared" si="13"/>
        <v>1054.7640000000001</v>
      </c>
      <c r="M122" s="5">
        <f t="shared" si="14"/>
        <v>2109.5280000000002</v>
      </c>
      <c r="N122" s="5">
        <f t="shared" si="15"/>
        <v>4219.0560000000005</v>
      </c>
      <c r="O122" s="5">
        <f t="shared" si="16"/>
        <v>6328.5840000000007</v>
      </c>
      <c r="P122" s="5">
        <f t="shared" si="17"/>
        <v>8438.112000000001</v>
      </c>
      <c r="Q122" s="5">
        <f t="shared" si="18"/>
        <v>4528.0074031163504</v>
      </c>
      <c r="R122" s="5">
        <f t="shared" si="19"/>
        <v>8050.725316929058</v>
      </c>
    </row>
    <row r="123" spans="3:18" x14ac:dyDescent="0.25">
      <c r="C123" s="2">
        <v>72600</v>
      </c>
      <c r="D123" s="2">
        <f t="shared" si="10"/>
        <v>72.599999999999994</v>
      </c>
      <c r="E123" s="2">
        <v>4</v>
      </c>
      <c r="F123" s="3">
        <v>-64.540000000000006</v>
      </c>
      <c r="G123" s="3">
        <f t="shared" si="11"/>
        <v>208.60999999999996</v>
      </c>
      <c r="H123" s="4">
        <v>6.0000000000000002E-5</v>
      </c>
      <c r="I123" s="2">
        <v>289.67</v>
      </c>
      <c r="J123" s="5">
        <f t="shared" si="12"/>
        <v>1042.8120000000001</v>
      </c>
      <c r="K123" s="2">
        <v>1.3805799999999999</v>
      </c>
      <c r="L123" s="5">
        <f t="shared" si="13"/>
        <v>1042.8120000000001</v>
      </c>
      <c r="M123" s="5">
        <f t="shared" si="14"/>
        <v>2085.6240000000003</v>
      </c>
      <c r="N123" s="5">
        <f t="shared" si="15"/>
        <v>4171.2480000000005</v>
      </c>
      <c r="O123" s="5">
        <f t="shared" si="16"/>
        <v>6256.8720000000012</v>
      </c>
      <c r="P123" s="5">
        <f t="shared" si="17"/>
        <v>8342.496000000001</v>
      </c>
      <c r="Q123" s="5">
        <f t="shared" si="18"/>
        <v>4541.703096959669</v>
      </c>
      <c r="R123" s="5">
        <f t="shared" si="19"/>
        <v>8058.3164698926566</v>
      </c>
    </row>
    <row r="124" spans="3:18" x14ac:dyDescent="0.25">
      <c r="C124" s="2">
        <v>73810</v>
      </c>
      <c r="D124" s="2">
        <f t="shared" si="10"/>
        <v>73.81</v>
      </c>
      <c r="E124" s="2">
        <v>3</v>
      </c>
      <c r="F124" s="3">
        <v>-69.38</v>
      </c>
      <c r="G124" s="3">
        <f t="shared" si="11"/>
        <v>203.76999999999998</v>
      </c>
      <c r="H124" s="4">
        <v>5.0000000000000002E-5</v>
      </c>
      <c r="I124" s="2">
        <v>286.29000000000002</v>
      </c>
      <c r="J124" s="5">
        <f t="shared" si="12"/>
        <v>1030.644</v>
      </c>
      <c r="K124" s="2">
        <v>1.3527100000000001</v>
      </c>
      <c r="L124" s="5">
        <f t="shared" si="13"/>
        <v>1030.644</v>
      </c>
      <c r="M124" s="5">
        <f t="shared" si="14"/>
        <v>2061.288</v>
      </c>
      <c r="N124" s="5">
        <f t="shared" si="15"/>
        <v>4122.576</v>
      </c>
      <c r="O124" s="5">
        <f t="shared" si="16"/>
        <v>6183.8639999999996</v>
      </c>
      <c r="P124" s="5">
        <f t="shared" si="17"/>
        <v>8245.152</v>
      </c>
      <c r="Q124" s="5">
        <f t="shared" si="18"/>
        <v>4555.5710783437044</v>
      </c>
      <c r="R124" s="5">
        <f t="shared" si="19"/>
        <v>8066.1419005512407</v>
      </c>
    </row>
    <row r="125" spans="3:18" x14ac:dyDescent="0.25">
      <c r="C125" s="2">
        <v>75030</v>
      </c>
      <c r="D125" s="2">
        <f t="shared" si="10"/>
        <v>75.03</v>
      </c>
      <c r="E125" s="2">
        <v>2</v>
      </c>
      <c r="F125" s="3">
        <v>-74.260000000000005</v>
      </c>
      <c r="G125" s="3">
        <f t="shared" si="11"/>
        <v>198.89</v>
      </c>
      <c r="H125" s="4">
        <v>4.0000000000000003E-5</v>
      </c>
      <c r="I125" s="2">
        <v>282.83</v>
      </c>
      <c r="J125" s="5">
        <f t="shared" si="12"/>
        <v>1018.188</v>
      </c>
      <c r="K125" s="2">
        <v>1.32429</v>
      </c>
      <c r="L125" s="5">
        <f t="shared" si="13"/>
        <v>1018.188</v>
      </c>
      <c r="M125" s="5">
        <f t="shared" si="14"/>
        <v>2036.376</v>
      </c>
      <c r="N125" s="5">
        <f t="shared" si="15"/>
        <v>4072.752</v>
      </c>
      <c r="O125" s="5">
        <f t="shared" si="16"/>
        <v>6109.1279999999997</v>
      </c>
      <c r="P125" s="5">
        <f t="shared" si="17"/>
        <v>8145.5039999999999</v>
      </c>
      <c r="Q125" s="5">
        <f t="shared" si="18"/>
        <v>4569.3305768274895</v>
      </c>
      <c r="R125" s="5">
        <f t="shared" si="19"/>
        <v>8073.7054078853234</v>
      </c>
    </row>
    <row r="126" spans="3:18" x14ac:dyDescent="0.25">
      <c r="C126" s="2">
        <v>76260</v>
      </c>
      <c r="D126" s="2">
        <f t="shared" si="10"/>
        <v>76.260000000000005</v>
      </c>
      <c r="E126" s="2">
        <v>2</v>
      </c>
      <c r="F126" s="3">
        <v>-79.180000000000007</v>
      </c>
      <c r="G126" s="3">
        <f t="shared" si="11"/>
        <v>193.96999999999997</v>
      </c>
      <c r="H126" s="4">
        <v>3.0000000000000001E-5</v>
      </c>
      <c r="I126" s="2">
        <v>279.3</v>
      </c>
      <c r="J126" s="5">
        <f t="shared" si="12"/>
        <v>1005.48</v>
      </c>
      <c r="K126" s="2">
        <v>1.29528</v>
      </c>
      <c r="L126" s="5">
        <f t="shared" si="13"/>
        <v>1005.48</v>
      </c>
      <c r="M126" s="5">
        <f t="shared" si="14"/>
        <v>2010.96</v>
      </c>
      <c r="N126" s="5">
        <f t="shared" si="15"/>
        <v>4021.92</v>
      </c>
      <c r="O126" s="5">
        <f t="shared" si="16"/>
        <v>6032.88</v>
      </c>
      <c r="P126" s="5">
        <f t="shared" si="17"/>
        <v>8043.84</v>
      </c>
      <c r="Q126" s="5">
        <f t="shared" si="18"/>
        <v>4583.1783623036727</v>
      </c>
      <c r="R126" s="5">
        <f t="shared" si="19"/>
        <v>8081.3569275375494</v>
      </c>
    </row>
    <row r="127" spans="3:18" x14ac:dyDescent="0.25">
      <c r="C127" s="2">
        <v>77500</v>
      </c>
      <c r="D127" s="2">
        <f t="shared" si="10"/>
        <v>77.5</v>
      </c>
      <c r="E127" s="2">
        <v>2</v>
      </c>
      <c r="F127" s="3">
        <v>-84.14</v>
      </c>
      <c r="G127" s="3">
        <f t="shared" si="11"/>
        <v>189.01</v>
      </c>
      <c r="H127" s="4">
        <v>3.0000000000000001E-5</v>
      </c>
      <c r="I127" s="2">
        <v>275.7</v>
      </c>
      <c r="J127" s="5">
        <f t="shared" si="12"/>
        <v>992.52</v>
      </c>
      <c r="K127" s="2">
        <v>1.2656799999999999</v>
      </c>
      <c r="L127" s="5">
        <f t="shared" si="13"/>
        <v>992.52</v>
      </c>
      <c r="M127" s="5">
        <f t="shared" si="14"/>
        <v>1985.04</v>
      </c>
      <c r="N127" s="5">
        <f t="shared" si="15"/>
        <v>3970.08</v>
      </c>
      <c r="O127" s="5">
        <f t="shared" si="16"/>
        <v>5955.12</v>
      </c>
      <c r="P127" s="5">
        <f t="shared" si="17"/>
        <v>7940.16</v>
      </c>
      <c r="Q127" s="5">
        <f t="shared" si="18"/>
        <v>4597.1600879697326</v>
      </c>
      <c r="R127" s="5">
        <f t="shared" si="19"/>
        <v>8089.1775811474872</v>
      </c>
    </row>
    <row r="128" spans="3:18" x14ac:dyDescent="0.25">
      <c r="C128" s="2">
        <v>78750</v>
      </c>
      <c r="D128" s="2">
        <f t="shared" si="10"/>
        <v>78.75</v>
      </c>
      <c r="E128" s="2">
        <v>1</v>
      </c>
      <c r="F128" s="3">
        <v>-89.14</v>
      </c>
      <c r="G128" s="3">
        <f t="shared" si="11"/>
        <v>184.01</v>
      </c>
      <c r="H128" s="4">
        <v>2.0000000000000002E-5</v>
      </c>
      <c r="I128" s="2">
        <v>272.02</v>
      </c>
      <c r="J128" s="5">
        <f t="shared" si="12"/>
        <v>979.27199999999993</v>
      </c>
      <c r="K128" s="2">
        <v>1.23546</v>
      </c>
      <c r="L128" s="5">
        <f t="shared" si="13"/>
        <v>979.27199999999993</v>
      </c>
      <c r="M128" s="5">
        <f t="shared" si="14"/>
        <v>1958.5439999999999</v>
      </c>
      <c r="N128" s="5">
        <f t="shared" si="15"/>
        <v>3917.0879999999997</v>
      </c>
      <c r="O128" s="5">
        <f t="shared" si="16"/>
        <v>5875.6319999999996</v>
      </c>
      <c r="P128" s="5">
        <f t="shared" si="17"/>
        <v>7834.1759999999995</v>
      </c>
      <c r="Q128" s="5">
        <f t="shared" si="18"/>
        <v>4611.1584389478594</v>
      </c>
      <c r="R128" s="5">
        <f t="shared" si="19"/>
        <v>8096.961641713523</v>
      </c>
    </row>
    <row r="129" spans="3:18" x14ac:dyDescent="0.25">
      <c r="C129" s="2">
        <v>80010</v>
      </c>
      <c r="D129" s="2">
        <f t="shared" si="10"/>
        <v>80.010000000000005</v>
      </c>
      <c r="E129" s="2">
        <v>1</v>
      </c>
      <c r="F129" s="3">
        <v>-92.5</v>
      </c>
      <c r="G129" s="3">
        <f t="shared" si="11"/>
        <v>180.64999999999998</v>
      </c>
      <c r="H129" s="4">
        <v>2.0000000000000002E-5</v>
      </c>
      <c r="I129" s="2">
        <v>269.52</v>
      </c>
      <c r="J129" s="5">
        <f t="shared" si="12"/>
        <v>970.27199999999993</v>
      </c>
      <c r="K129" s="2">
        <v>1.2149300000000001</v>
      </c>
      <c r="L129" s="5">
        <f t="shared" si="13"/>
        <v>970.27199999999993</v>
      </c>
      <c r="M129" s="5">
        <f t="shared" si="14"/>
        <v>1940.5439999999999</v>
      </c>
      <c r="N129" s="5">
        <f t="shared" si="15"/>
        <v>3881.0879999999997</v>
      </c>
      <c r="O129" s="5">
        <f t="shared" si="16"/>
        <v>5821.6319999999996</v>
      </c>
      <c r="P129" s="5">
        <f t="shared" si="17"/>
        <v>7762.1759999999995</v>
      </c>
      <c r="Q129" s="5">
        <f t="shared" si="18"/>
        <v>4620.5560938971403</v>
      </c>
      <c r="R129" s="5">
        <f t="shared" si="19"/>
        <v>8102.2151399699951</v>
      </c>
    </row>
    <row r="130" spans="3:18" x14ac:dyDescent="0.25">
      <c r="C130" s="2">
        <v>81280</v>
      </c>
      <c r="D130" s="2">
        <f t="shared" si="10"/>
        <v>81.28</v>
      </c>
      <c r="E130" s="2">
        <v>1</v>
      </c>
      <c r="F130" s="3">
        <v>-92.5</v>
      </c>
      <c r="G130" s="3">
        <f t="shared" si="11"/>
        <v>180.64999999999998</v>
      </c>
      <c r="H130" s="4">
        <v>2.0000000000000002E-5</v>
      </c>
      <c r="I130" s="2">
        <v>269.52</v>
      </c>
      <c r="J130" s="5">
        <f t="shared" si="12"/>
        <v>970.27199999999993</v>
      </c>
      <c r="K130" s="2">
        <v>1.2149300000000001</v>
      </c>
      <c r="L130" s="5">
        <f t="shared" si="13"/>
        <v>970.27199999999993</v>
      </c>
      <c r="M130" s="5">
        <f t="shared" si="14"/>
        <v>1940.5439999999999</v>
      </c>
      <c r="N130" s="5">
        <f t="shared" si="15"/>
        <v>3881.0879999999997</v>
      </c>
      <c r="O130" s="5">
        <f t="shared" si="16"/>
        <v>5821.6319999999996</v>
      </c>
      <c r="P130" s="5">
        <f t="shared" si="17"/>
        <v>7762.1759999999995</v>
      </c>
      <c r="Q130" s="5">
        <f t="shared" si="18"/>
        <v>4620.5560938971403</v>
      </c>
      <c r="R130" s="5">
        <f t="shared" si="19"/>
        <v>8102.2151399699951</v>
      </c>
    </row>
    <row r="131" spans="3:18" x14ac:dyDescent="0.25">
      <c r="C131" s="2">
        <v>82560</v>
      </c>
      <c r="D131" s="2">
        <f t="shared" si="10"/>
        <v>82.56</v>
      </c>
      <c r="E131" s="2">
        <v>1</v>
      </c>
      <c r="F131" s="3">
        <v>-92.5</v>
      </c>
      <c r="G131" s="3">
        <f t="shared" si="11"/>
        <v>180.64999999999998</v>
      </c>
      <c r="H131" s="4">
        <v>1.0000000000000001E-5</v>
      </c>
      <c r="I131" s="2">
        <v>269.52</v>
      </c>
      <c r="J131" s="5">
        <f t="shared" si="12"/>
        <v>970.27199999999993</v>
      </c>
      <c r="K131" s="2">
        <v>1.2149300000000001</v>
      </c>
      <c r="L131" s="5">
        <f t="shared" si="13"/>
        <v>970.27199999999993</v>
      </c>
      <c r="M131" s="5">
        <f t="shared" si="14"/>
        <v>1940.5439999999999</v>
      </c>
      <c r="N131" s="5">
        <f t="shared" si="15"/>
        <v>3881.0879999999997</v>
      </c>
      <c r="O131" s="5">
        <f t="shared" si="16"/>
        <v>5821.6319999999996</v>
      </c>
      <c r="P131" s="5">
        <f t="shared" si="17"/>
        <v>7762.1759999999995</v>
      </c>
      <c r="Q131" s="5">
        <f t="shared" si="18"/>
        <v>4620.5560938971403</v>
      </c>
      <c r="R131" s="5">
        <f t="shared" si="19"/>
        <v>8102.2151399699951</v>
      </c>
    </row>
    <row r="132" spans="3:18" x14ac:dyDescent="0.25">
      <c r="C132" s="2">
        <v>83850</v>
      </c>
      <c r="D132" s="2">
        <f t="shared" ref="D132:D142" si="20">C132/1000</f>
        <v>83.85</v>
      </c>
      <c r="E132" s="2">
        <v>0</v>
      </c>
      <c r="F132" s="3">
        <v>-92.5</v>
      </c>
      <c r="G132" s="3">
        <f t="shared" ref="G132:G142" si="21">F132+273.15</f>
        <v>180.64999999999998</v>
      </c>
      <c r="H132" s="4">
        <v>1.0000000000000001E-5</v>
      </c>
      <c r="I132" s="2">
        <v>269.52</v>
      </c>
      <c r="J132" s="5">
        <f t="shared" ref="J132:J142" si="22">I132*3.6</f>
        <v>970.27199999999993</v>
      </c>
      <c r="K132" s="2">
        <v>1.2149300000000001</v>
      </c>
      <c r="L132" s="5">
        <f t="shared" ref="L132:L142" si="23">J132*$L$2</f>
        <v>970.27199999999993</v>
      </c>
      <c r="M132" s="5">
        <f t="shared" ref="M132:M142" si="24">J132*$M$2</f>
        <v>1940.5439999999999</v>
      </c>
      <c r="N132" s="5">
        <f t="shared" ref="N132:N142" si="25">J132*$N$2</f>
        <v>3881.0879999999997</v>
      </c>
      <c r="O132" s="5">
        <f t="shared" ref="O132:O142" si="26">J132*$O$2</f>
        <v>5821.6319999999996</v>
      </c>
      <c r="P132" s="5">
        <f t="shared" ref="P132:P142" si="27">J132*$P$2</f>
        <v>7762.1759999999995</v>
      </c>
      <c r="Q132" s="5">
        <f t="shared" ref="Q132:Q142" si="28">SQRT(($Q$2/G132-1)*2/(1.4-1))*J132</f>
        <v>4620.5560938971403</v>
      </c>
      <c r="R132" s="5">
        <f t="shared" ref="R132:R142" si="29">SQRT(($R$2/G132-1)*2/(1.4-1))*J132</f>
        <v>8102.2151399699951</v>
      </c>
    </row>
    <row r="133" spans="3:18" x14ac:dyDescent="0.25">
      <c r="C133" s="2">
        <v>85150</v>
      </c>
      <c r="D133" s="2">
        <f t="shared" si="20"/>
        <v>85.15</v>
      </c>
      <c r="E133" s="2">
        <v>0</v>
      </c>
      <c r="F133" s="3">
        <v>-92.5</v>
      </c>
      <c r="G133" s="3">
        <f t="shared" si="21"/>
        <v>180.64999999999998</v>
      </c>
      <c r="H133" s="4">
        <v>1.0000000000000001E-5</v>
      </c>
      <c r="I133" s="2">
        <v>269.52</v>
      </c>
      <c r="J133" s="5">
        <f t="shared" si="22"/>
        <v>970.27199999999993</v>
      </c>
      <c r="K133" s="2">
        <v>1.2149300000000001</v>
      </c>
      <c r="L133" s="5">
        <f t="shared" si="23"/>
        <v>970.27199999999993</v>
      </c>
      <c r="M133" s="5">
        <f t="shared" si="24"/>
        <v>1940.5439999999999</v>
      </c>
      <c r="N133" s="5">
        <f t="shared" si="25"/>
        <v>3881.0879999999997</v>
      </c>
      <c r="O133" s="5">
        <f t="shared" si="26"/>
        <v>5821.6319999999996</v>
      </c>
      <c r="P133" s="5">
        <f t="shared" si="27"/>
        <v>7762.1759999999995</v>
      </c>
      <c r="Q133" s="5">
        <f t="shared" si="28"/>
        <v>4620.5560938971403</v>
      </c>
      <c r="R133" s="5">
        <f t="shared" si="29"/>
        <v>8102.2151399699951</v>
      </c>
    </row>
    <row r="134" spans="3:18" x14ac:dyDescent="0.25">
      <c r="C134" s="2">
        <v>86460</v>
      </c>
      <c r="D134" s="2">
        <f t="shared" si="20"/>
        <v>86.46</v>
      </c>
      <c r="E134" s="2">
        <v>0</v>
      </c>
      <c r="F134" s="3">
        <v>-92.5</v>
      </c>
      <c r="G134" s="3">
        <f t="shared" si="21"/>
        <v>180.64999999999998</v>
      </c>
      <c r="H134" s="4">
        <v>1.0000000000000001E-5</v>
      </c>
      <c r="I134" s="2">
        <v>269.52</v>
      </c>
      <c r="J134" s="5">
        <f t="shared" si="22"/>
        <v>970.27199999999993</v>
      </c>
      <c r="K134" s="2">
        <v>1.2149300000000001</v>
      </c>
      <c r="L134" s="5">
        <f t="shared" si="23"/>
        <v>970.27199999999993</v>
      </c>
      <c r="M134" s="5">
        <f t="shared" si="24"/>
        <v>1940.5439999999999</v>
      </c>
      <c r="N134" s="5">
        <f t="shared" si="25"/>
        <v>3881.0879999999997</v>
      </c>
      <c r="O134" s="5">
        <f t="shared" si="26"/>
        <v>5821.6319999999996</v>
      </c>
      <c r="P134" s="5">
        <f t="shared" si="27"/>
        <v>7762.1759999999995</v>
      </c>
      <c r="Q134" s="5">
        <f t="shared" si="28"/>
        <v>4620.5560938971403</v>
      </c>
      <c r="R134" s="5">
        <f t="shared" si="29"/>
        <v>8102.2151399699951</v>
      </c>
    </row>
    <row r="135" spans="3:18" x14ac:dyDescent="0.25">
      <c r="C135" s="2">
        <v>87780</v>
      </c>
      <c r="D135" s="2">
        <f t="shared" si="20"/>
        <v>87.78</v>
      </c>
      <c r="E135" s="2">
        <v>0</v>
      </c>
      <c r="F135" s="3">
        <v>-92.5</v>
      </c>
      <c r="G135" s="3">
        <f t="shared" si="21"/>
        <v>180.64999999999998</v>
      </c>
      <c r="H135" s="4">
        <v>0</v>
      </c>
      <c r="I135" s="2">
        <v>269.52</v>
      </c>
      <c r="J135" s="5">
        <f t="shared" si="22"/>
        <v>970.27199999999993</v>
      </c>
      <c r="K135" s="2">
        <v>1.2149300000000001</v>
      </c>
      <c r="L135" s="5">
        <f t="shared" si="23"/>
        <v>970.27199999999993</v>
      </c>
      <c r="M135" s="5">
        <f t="shared" si="24"/>
        <v>1940.5439999999999</v>
      </c>
      <c r="N135" s="5">
        <f t="shared" si="25"/>
        <v>3881.0879999999997</v>
      </c>
      <c r="O135" s="5">
        <f t="shared" si="26"/>
        <v>5821.6319999999996</v>
      </c>
      <c r="P135" s="5">
        <f t="shared" si="27"/>
        <v>7762.1759999999995</v>
      </c>
      <c r="Q135" s="5">
        <f t="shared" si="28"/>
        <v>4620.5560938971403</v>
      </c>
      <c r="R135" s="5">
        <f t="shared" si="29"/>
        <v>8102.2151399699951</v>
      </c>
    </row>
    <row r="136" spans="3:18" x14ac:dyDescent="0.25">
      <c r="C136" s="2">
        <v>89110</v>
      </c>
      <c r="D136" s="2">
        <f t="shared" si="20"/>
        <v>89.11</v>
      </c>
      <c r="E136" s="2">
        <v>0</v>
      </c>
      <c r="F136" s="3">
        <v>-92.5</v>
      </c>
      <c r="G136" s="3">
        <f t="shared" si="21"/>
        <v>180.64999999999998</v>
      </c>
      <c r="H136" s="4">
        <v>0</v>
      </c>
      <c r="I136" s="2">
        <v>269.52</v>
      </c>
      <c r="J136" s="5">
        <f t="shared" si="22"/>
        <v>970.27199999999993</v>
      </c>
      <c r="K136" s="2">
        <v>1.2149300000000001</v>
      </c>
      <c r="L136" s="5">
        <f t="shared" si="23"/>
        <v>970.27199999999993</v>
      </c>
      <c r="M136" s="5">
        <f t="shared" si="24"/>
        <v>1940.5439999999999</v>
      </c>
      <c r="N136" s="5">
        <f t="shared" si="25"/>
        <v>3881.0879999999997</v>
      </c>
      <c r="O136" s="5">
        <f t="shared" si="26"/>
        <v>5821.6319999999996</v>
      </c>
      <c r="P136" s="5">
        <f t="shared" si="27"/>
        <v>7762.1759999999995</v>
      </c>
      <c r="Q136" s="5">
        <f t="shared" si="28"/>
        <v>4620.5560938971403</v>
      </c>
      <c r="R136" s="5">
        <f t="shared" si="29"/>
        <v>8102.2151399699951</v>
      </c>
    </row>
    <row r="137" spans="3:18" x14ac:dyDescent="0.25">
      <c r="C137" s="2">
        <v>90450</v>
      </c>
      <c r="D137" s="2">
        <f t="shared" si="20"/>
        <v>90.45</v>
      </c>
      <c r="E137" s="2">
        <v>0</v>
      </c>
      <c r="F137" s="3">
        <v>-91.15</v>
      </c>
      <c r="G137" s="3">
        <f t="shared" si="21"/>
        <v>181.99999999999997</v>
      </c>
      <c r="H137" s="4">
        <v>0</v>
      </c>
      <c r="I137" s="2">
        <v>270.52</v>
      </c>
      <c r="J137" s="5">
        <f t="shared" si="22"/>
        <v>973.87199999999996</v>
      </c>
      <c r="K137" s="2">
        <v>1.2232000000000001</v>
      </c>
      <c r="L137" s="5">
        <f t="shared" si="23"/>
        <v>973.87199999999996</v>
      </c>
      <c r="M137" s="5">
        <f t="shared" si="24"/>
        <v>1947.7439999999999</v>
      </c>
      <c r="N137" s="5">
        <f t="shared" si="25"/>
        <v>3895.4879999999998</v>
      </c>
      <c r="O137" s="5">
        <f t="shared" si="26"/>
        <v>5843.232</v>
      </c>
      <c r="P137" s="5">
        <f t="shared" si="27"/>
        <v>7790.9759999999997</v>
      </c>
      <c r="Q137" s="5">
        <f t="shared" si="28"/>
        <v>4616.6594471356948</v>
      </c>
      <c r="R137" s="5">
        <f t="shared" si="29"/>
        <v>8099.8886864263504</v>
      </c>
    </row>
    <row r="138" spans="3:18" x14ac:dyDescent="0.25">
      <c r="C138" s="2">
        <v>91800</v>
      </c>
      <c r="D138" s="2">
        <f t="shared" si="20"/>
        <v>91.8</v>
      </c>
      <c r="E138" s="2">
        <v>0</v>
      </c>
      <c r="F138" s="3">
        <v>-87.1</v>
      </c>
      <c r="G138" s="3">
        <f t="shared" si="21"/>
        <v>186.04999999999998</v>
      </c>
      <c r="H138" s="4">
        <v>0</v>
      </c>
      <c r="I138" s="2">
        <v>273.52999999999997</v>
      </c>
      <c r="J138" s="5">
        <f t="shared" si="22"/>
        <v>984.70799999999997</v>
      </c>
      <c r="K138" s="2">
        <v>1.2478400000000001</v>
      </c>
      <c r="L138" s="5">
        <f t="shared" si="23"/>
        <v>984.70799999999997</v>
      </c>
      <c r="M138" s="5">
        <f t="shared" si="24"/>
        <v>1969.4159999999999</v>
      </c>
      <c r="N138" s="5">
        <f t="shared" si="25"/>
        <v>3938.8319999999999</v>
      </c>
      <c r="O138" s="5">
        <f t="shared" si="26"/>
        <v>5908.2479999999996</v>
      </c>
      <c r="P138" s="5">
        <f t="shared" si="27"/>
        <v>7877.6639999999998</v>
      </c>
      <c r="Q138" s="5">
        <f t="shared" si="28"/>
        <v>4605.4969071419409</v>
      </c>
      <c r="R138" s="5">
        <f t="shared" si="29"/>
        <v>8093.8648642856488</v>
      </c>
    </row>
    <row r="139" spans="3:18" x14ac:dyDescent="0.25">
      <c r="C139" s="2">
        <v>93160</v>
      </c>
      <c r="D139" s="2">
        <f t="shared" si="20"/>
        <v>93.16</v>
      </c>
      <c r="E139" s="2">
        <v>0</v>
      </c>
      <c r="F139" s="3">
        <v>-83.02</v>
      </c>
      <c r="G139" s="3">
        <f t="shared" si="21"/>
        <v>190.13</v>
      </c>
      <c r="H139" s="4">
        <v>0</v>
      </c>
      <c r="I139" s="2">
        <v>276.52</v>
      </c>
      <c r="J139" s="5">
        <f t="shared" si="22"/>
        <v>995.47199999999998</v>
      </c>
      <c r="K139" s="2">
        <v>1.2724</v>
      </c>
      <c r="L139" s="5">
        <f t="shared" si="23"/>
        <v>995.47199999999998</v>
      </c>
      <c r="M139" s="5">
        <f t="shared" si="24"/>
        <v>1990.944</v>
      </c>
      <c r="N139" s="5">
        <f t="shared" si="25"/>
        <v>3981.8879999999999</v>
      </c>
      <c r="O139" s="5">
        <f t="shared" si="26"/>
        <v>5972.8320000000003</v>
      </c>
      <c r="P139" s="5">
        <f t="shared" si="27"/>
        <v>7963.7759999999998</v>
      </c>
      <c r="Q139" s="5">
        <f t="shared" si="28"/>
        <v>4594.0570377389759</v>
      </c>
      <c r="R139" s="5">
        <f t="shared" si="29"/>
        <v>8087.5008780130165</v>
      </c>
    </row>
    <row r="140" spans="3:18" x14ac:dyDescent="0.25">
      <c r="C140" s="2">
        <v>94530</v>
      </c>
      <c r="D140" s="2">
        <f t="shared" si="20"/>
        <v>94.53</v>
      </c>
      <c r="E140" s="2">
        <v>0</v>
      </c>
      <c r="F140" s="3">
        <v>-78.91</v>
      </c>
      <c r="G140" s="3">
        <f t="shared" si="21"/>
        <v>194.23999999999998</v>
      </c>
      <c r="H140" s="4">
        <v>0</v>
      </c>
      <c r="I140" s="2">
        <v>279.5</v>
      </c>
      <c r="J140" s="5">
        <f t="shared" si="22"/>
        <v>1006.2</v>
      </c>
      <c r="K140" s="2">
        <v>1.29688</v>
      </c>
      <c r="L140" s="5">
        <f t="shared" si="23"/>
        <v>1006.2</v>
      </c>
      <c r="M140" s="5">
        <f t="shared" si="24"/>
        <v>2012.4</v>
      </c>
      <c r="N140" s="5">
        <f t="shared" si="25"/>
        <v>4024.8</v>
      </c>
      <c r="O140" s="5">
        <f t="shared" si="26"/>
        <v>6037.2000000000007</v>
      </c>
      <c r="P140" s="5">
        <f t="shared" si="27"/>
        <v>8049.6</v>
      </c>
      <c r="Q140" s="5">
        <f t="shared" si="28"/>
        <v>4582.5037866716466</v>
      </c>
      <c r="R140" s="5">
        <f t="shared" si="29"/>
        <v>8081.0857759413702</v>
      </c>
    </row>
    <row r="141" spans="3:18" x14ac:dyDescent="0.25">
      <c r="C141" s="2">
        <v>95910</v>
      </c>
      <c r="D141" s="2">
        <f t="shared" si="20"/>
        <v>95.91</v>
      </c>
      <c r="E141" s="2">
        <v>0</v>
      </c>
      <c r="F141" s="3">
        <v>-74.77</v>
      </c>
      <c r="G141" s="3">
        <f t="shared" si="21"/>
        <v>198.38</v>
      </c>
      <c r="H141" s="4">
        <v>0</v>
      </c>
      <c r="I141" s="2">
        <v>282.47000000000003</v>
      </c>
      <c r="J141" s="5">
        <f t="shared" si="22"/>
        <v>1016.8920000000002</v>
      </c>
      <c r="K141" s="2">
        <v>1.3212999999999999</v>
      </c>
      <c r="L141" s="5">
        <f t="shared" si="23"/>
        <v>1016.8920000000002</v>
      </c>
      <c r="M141" s="5">
        <f t="shared" si="24"/>
        <v>2033.7840000000003</v>
      </c>
      <c r="N141" s="5">
        <f t="shared" si="25"/>
        <v>4067.5680000000007</v>
      </c>
      <c r="O141" s="5">
        <f t="shared" si="26"/>
        <v>6101.3520000000008</v>
      </c>
      <c r="P141" s="5">
        <f t="shared" si="27"/>
        <v>8135.1360000000013</v>
      </c>
      <c r="Q141" s="5">
        <f t="shared" si="28"/>
        <v>4570.8309767108485</v>
      </c>
      <c r="R141" s="5">
        <f t="shared" si="29"/>
        <v>8074.6100893371013</v>
      </c>
    </row>
    <row r="142" spans="3:18" x14ac:dyDescent="0.25">
      <c r="C142" s="2">
        <v>97300</v>
      </c>
      <c r="D142" s="2">
        <f t="shared" si="20"/>
        <v>97.3</v>
      </c>
      <c r="E142" s="2">
        <v>0</v>
      </c>
      <c r="F142" s="3">
        <v>-70.599999999999994</v>
      </c>
      <c r="G142" s="3">
        <f t="shared" si="21"/>
        <v>202.54999999999998</v>
      </c>
      <c r="H142" s="4">
        <v>0</v>
      </c>
      <c r="I142" s="2">
        <v>285.43</v>
      </c>
      <c r="J142" s="5">
        <f t="shared" si="22"/>
        <v>1027.548</v>
      </c>
      <c r="K142" s="2">
        <v>1.3456300000000001</v>
      </c>
      <c r="L142" s="5">
        <f t="shared" si="23"/>
        <v>1027.548</v>
      </c>
      <c r="M142" s="5">
        <f t="shared" si="24"/>
        <v>2055.096</v>
      </c>
      <c r="N142" s="5">
        <f t="shared" si="25"/>
        <v>4110.192</v>
      </c>
      <c r="O142" s="5">
        <f t="shared" si="26"/>
        <v>6165.2880000000005</v>
      </c>
      <c r="P142" s="5">
        <f t="shared" si="27"/>
        <v>8220.384</v>
      </c>
      <c r="Q142" s="5">
        <f t="shared" si="28"/>
        <v>4559.03291688011</v>
      </c>
      <c r="R142" s="5">
        <f t="shared" si="29"/>
        <v>8068.0651741922748</v>
      </c>
    </row>
  </sheetData>
  <mergeCells count="4">
    <mergeCell ref="C1:D1"/>
    <mergeCell ref="I1:J1"/>
    <mergeCell ref="L1:P1"/>
    <mergeCell ref="Q1:R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146"/>
  <sheetViews>
    <sheetView workbookViewId="0">
      <selection activeCell="I6" sqref="I6"/>
    </sheetView>
  </sheetViews>
  <sheetFormatPr defaultRowHeight="15" x14ac:dyDescent="0.25"/>
  <cols>
    <col min="5" max="5" width="11.42578125" bestFit="1" customWidth="1"/>
    <col min="6" max="6" width="15.85546875" bestFit="1" customWidth="1"/>
    <col min="7" max="7" width="15.85546875" customWidth="1"/>
    <col min="17" max="17" width="10.5703125" customWidth="1"/>
  </cols>
  <sheetData>
    <row r="2" spans="3:20" x14ac:dyDescent="0.25">
      <c r="H2" s="2" t="s">
        <v>15</v>
      </c>
      <c r="I2" s="4">
        <f>(1+($I$4-1)/2*$I$5*$I$5)</f>
        <v>1.032</v>
      </c>
      <c r="J2" s="2" t="s">
        <v>15</v>
      </c>
      <c r="K2" s="4">
        <f>(1+($I$4-1)/2*K5*K5)</f>
        <v>1.1279999999999999</v>
      </c>
      <c r="L2" s="2" t="s">
        <v>15</v>
      </c>
      <c r="M2" s="4">
        <f>(1+($I$4-1)/2*M5*M5)</f>
        <v>1.512</v>
      </c>
      <c r="N2" s="2" t="s">
        <v>15</v>
      </c>
      <c r="O2" s="4">
        <f>(1+($I$4-1)/2*O5*O5)</f>
        <v>3.4499999999999993</v>
      </c>
      <c r="P2" s="2" t="s">
        <v>15</v>
      </c>
      <c r="Q2" s="4">
        <f>(1+($I$4-1)/2*Q5*Q5)</f>
        <v>10.799999999999997</v>
      </c>
      <c r="R2" s="6"/>
      <c r="S2" s="6"/>
    </row>
    <row r="3" spans="3:20" x14ac:dyDescent="0.25">
      <c r="H3" s="2" t="s">
        <v>14</v>
      </c>
      <c r="I3" s="4">
        <f>I2^($I$4/($I$4-1))</f>
        <v>1.1165519658097534</v>
      </c>
      <c r="J3" s="2" t="s">
        <v>14</v>
      </c>
      <c r="K3" s="4">
        <f>K2^($I$4/($I$4-1))</f>
        <v>1.5243400095586477</v>
      </c>
      <c r="L3" s="2" t="s">
        <v>14</v>
      </c>
      <c r="M3" s="4">
        <f>M2^($I$4/($I$4-1))</f>
        <v>4.2504143493580377</v>
      </c>
      <c r="N3" s="2" t="s">
        <v>14</v>
      </c>
      <c r="O3" s="4">
        <f>O2^($I$4/($I$4-1))</f>
        <v>76.272298238516157</v>
      </c>
      <c r="P3" s="2" t="s">
        <v>14</v>
      </c>
      <c r="Q3" s="4">
        <f>Q2^($I$4/($I$4-1))</f>
        <v>4139.8360701596812</v>
      </c>
      <c r="R3" s="6"/>
      <c r="S3" s="6"/>
    </row>
    <row r="4" spans="3:20" x14ac:dyDescent="0.25">
      <c r="H4" s="2" t="s">
        <v>18</v>
      </c>
      <c r="I4" s="2">
        <v>1.4</v>
      </c>
      <c r="J4" s="2" t="s">
        <v>18</v>
      </c>
      <c r="K4" s="2">
        <v>1.4</v>
      </c>
      <c r="L4" s="2" t="s">
        <v>18</v>
      </c>
      <c r="M4" s="2">
        <v>1.4</v>
      </c>
      <c r="N4" s="2" t="s">
        <v>18</v>
      </c>
      <c r="O4" s="2">
        <v>1.4</v>
      </c>
      <c r="P4" s="2" t="s">
        <v>18</v>
      </c>
      <c r="Q4" s="2">
        <v>1.4</v>
      </c>
      <c r="R4" s="7"/>
      <c r="S4" s="7"/>
    </row>
    <row r="5" spans="3:20" x14ac:dyDescent="0.25">
      <c r="C5" s="17" t="str">
        <f>AtmosphereISA!C1:F1</f>
        <v>Altitude</v>
      </c>
      <c r="D5" s="17"/>
      <c r="E5" s="2"/>
      <c r="F5" s="2"/>
      <c r="G5" s="2"/>
      <c r="H5" s="2" t="s">
        <v>13</v>
      </c>
      <c r="I5" s="2">
        <v>0.4</v>
      </c>
      <c r="J5" s="2" t="s">
        <v>13</v>
      </c>
      <c r="K5" s="2">
        <v>0.8</v>
      </c>
      <c r="L5" s="2" t="s">
        <v>13</v>
      </c>
      <c r="M5" s="2">
        <v>1.6</v>
      </c>
      <c r="N5" s="2" t="s">
        <v>13</v>
      </c>
      <c r="O5" s="2">
        <v>3.5</v>
      </c>
      <c r="P5" s="2" t="s">
        <v>13</v>
      </c>
      <c r="Q5" s="10">
        <v>7</v>
      </c>
      <c r="R5" s="7"/>
      <c r="S5" s="7"/>
    </row>
    <row r="6" spans="3:20" x14ac:dyDescent="0.25">
      <c r="C6" s="2" t="str">
        <f>AtmosphereISA!C2:F2</f>
        <v>m</v>
      </c>
      <c r="D6" s="2" t="str">
        <f>AtmosphereISA!D2:G2</f>
        <v>km</v>
      </c>
      <c r="E6" s="2" t="str">
        <f>AtmosphereISA!E2:H2</f>
        <v>Pressão(Pa)</v>
      </c>
      <c r="F6" s="2" t="str">
        <f>AtmosphereISA!F2:I2</f>
        <v>Temperatura(°C)</v>
      </c>
      <c r="G6" s="2" t="str">
        <f>AtmosphereISA!G2:J2</f>
        <v>T (k)</v>
      </c>
      <c r="H6" s="2" t="s">
        <v>19</v>
      </c>
      <c r="I6" s="2" t="s">
        <v>20</v>
      </c>
      <c r="J6" s="9" t="s">
        <v>19</v>
      </c>
      <c r="K6" s="2" t="s">
        <v>20</v>
      </c>
      <c r="L6" s="9" t="s">
        <v>19</v>
      </c>
      <c r="M6" s="2" t="s">
        <v>20</v>
      </c>
      <c r="N6" s="9" t="s">
        <v>19</v>
      </c>
      <c r="O6" s="2" t="s">
        <v>20</v>
      </c>
      <c r="P6" s="9" t="s">
        <v>19</v>
      </c>
      <c r="Q6" s="2" t="s">
        <v>20</v>
      </c>
      <c r="R6" s="7"/>
      <c r="S6" s="7"/>
      <c r="T6" t="s">
        <v>16</v>
      </c>
    </row>
    <row r="7" spans="3:20" x14ac:dyDescent="0.25">
      <c r="C7" s="2">
        <f>AtmosphereISA!C3:F3</f>
        <v>0</v>
      </c>
      <c r="D7" s="2">
        <f>AtmosphereISA!D3:G3</f>
        <v>0</v>
      </c>
      <c r="E7" s="2">
        <f>AtmosphereISA!E3:H3</f>
        <v>101342</v>
      </c>
      <c r="F7" s="2">
        <f>AtmosphereISA!F3:I3</f>
        <v>15</v>
      </c>
      <c r="G7" s="2">
        <f>AtmosphereISA!G3:J3</f>
        <v>288.14999999999998</v>
      </c>
      <c r="H7" s="3">
        <f>G7*$I$2</f>
        <v>297.37079999999997</v>
      </c>
      <c r="I7" s="4">
        <f>$I$3*E7/100000</f>
        <v>1.1315360931909202</v>
      </c>
      <c r="J7" s="3">
        <f>G7*$K$2</f>
        <v>325.03319999999997</v>
      </c>
      <c r="K7" s="4">
        <f>$K$3*E7/100000</f>
        <v>1.5447966524869248</v>
      </c>
      <c r="L7" s="3">
        <f>G7*$M$2</f>
        <v>435.68279999999999</v>
      </c>
      <c r="M7" s="4">
        <f>$M$3*E7/100000</f>
        <v>4.3074549099264221</v>
      </c>
      <c r="N7" s="3">
        <f>G7*$O$2</f>
        <v>994.11749999999972</v>
      </c>
      <c r="O7" s="4">
        <f>$O$3*E7/100000</f>
        <v>77.295872480877037</v>
      </c>
      <c r="P7" s="3">
        <f>G7*$Q$2</f>
        <v>3112.0199999999991</v>
      </c>
      <c r="Q7" s="10">
        <f>$Q$3*E7/100000</f>
        <v>4195.3926702212239</v>
      </c>
      <c r="R7" s="8"/>
      <c r="S7" s="8"/>
      <c r="T7" t="s">
        <v>17</v>
      </c>
    </row>
    <row r="8" spans="3:20" x14ac:dyDescent="0.25">
      <c r="C8" s="2">
        <f>AtmosphereISA!C4:F4</f>
        <v>10</v>
      </c>
      <c r="D8" s="2">
        <f>AtmosphereISA!D4:G4</f>
        <v>0.01</v>
      </c>
      <c r="E8" s="2">
        <f>AtmosphereISA!E4:H4</f>
        <v>101222</v>
      </c>
      <c r="F8" s="2">
        <f>AtmosphereISA!F4:I4</f>
        <v>14.93</v>
      </c>
      <c r="G8" s="2">
        <f>AtmosphereISA!G4:J4</f>
        <v>288.08</v>
      </c>
      <c r="H8" s="3">
        <f t="shared" ref="H8:H71" si="0">G8*$I$2</f>
        <v>297.29856000000001</v>
      </c>
      <c r="I8" s="4">
        <f t="shared" ref="I8:I71" si="1">$I$3*E8/100000</f>
        <v>1.1301962308319484</v>
      </c>
      <c r="J8" s="3">
        <f t="shared" ref="J8:J71" si="2">G8*$K$2</f>
        <v>324.95423999999997</v>
      </c>
      <c r="K8" s="4">
        <f t="shared" ref="K8:K71" si="3">$K$3*E8/100000</f>
        <v>1.5429674444754544</v>
      </c>
      <c r="L8" s="3">
        <f t="shared" ref="L8:L71" si="4">G8*$M$2</f>
        <v>435.57695999999999</v>
      </c>
      <c r="M8" s="4">
        <f t="shared" ref="M8:M71" si="5">$M$3*E8/100000</f>
        <v>4.3023544127071931</v>
      </c>
      <c r="N8" s="3">
        <f t="shared" ref="N8:N71" si="6">G8*$O$2</f>
        <v>993.87599999999975</v>
      </c>
      <c r="O8" s="4">
        <f t="shared" ref="O8:O71" si="7">$O$3*E8/100000</f>
        <v>77.204345722990823</v>
      </c>
      <c r="P8" s="3">
        <f t="shared" ref="P8:P71" si="8">G8*$Q$2</f>
        <v>3111.2639999999992</v>
      </c>
      <c r="Q8" s="10">
        <f t="shared" ref="Q8:Q71" si="9">$Q$3*E8/100000</f>
        <v>4190.4248669370327</v>
      </c>
      <c r="R8" s="8"/>
      <c r="S8" s="8"/>
    </row>
    <row r="9" spans="3:20" x14ac:dyDescent="0.25">
      <c r="C9" s="2">
        <f>AtmosphereISA!C5:F5</f>
        <v>30</v>
      </c>
      <c r="D9" s="2">
        <f>AtmosphereISA!D5:G5</f>
        <v>0.03</v>
      </c>
      <c r="E9" s="2">
        <f>AtmosphereISA!E5:H5</f>
        <v>100982</v>
      </c>
      <c r="F9" s="2">
        <f>AtmosphereISA!F5:I5</f>
        <v>14.8</v>
      </c>
      <c r="G9" s="2">
        <f>AtmosphereISA!G5:J5</f>
        <v>287.95</v>
      </c>
      <c r="H9" s="3">
        <f t="shared" si="0"/>
        <v>297.1644</v>
      </c>
      <c r="I9" s="4">
        <f t="shared" si="1"/>
        <v>1.1275165061140051</v>
      </c>
      <c r="J9" s="3">
        <f t="shared" si="2"/>
        <v>324.80759999999998</v>
      </c>
      <c r="K9" s="4">
        <f t="shared" si="3"/>
        <v>1.5393090284525137</v>
      </c>
      <c r="L9" s="3">
        <f t="shared" si="4"/>
        <v>435.38040000000001</v>
      </c>
      <c r="M9" s="4">
        <f t="shared" si="5"/>
        <v>4.2921534182687333</v>
      </c>
      <c r="N9" s="3">
        <f t="shared" si="6"/>
        <v>993.42749999999978</v>
      </c>
      <c r="O9" s="4">
        <f t="shared" si="7"/>
        <v>77.021292207218394</v>
      </c>
      <c r="P9" s="3">
        <f t="shared" si="8"/>
        <v>3109.8599999999992</v>
      </c>
      <c r="Q9" s="10">
        <f t="shared" si="9"/>
        <v>4180.4892603686494</v>
      </c>
      <c r="R9" s="8"/>
      <c r="S9" s="8"/>
    </row>
    <row r="10" spans="3:20" x14ac:dyDescent="0.25">
      <c r="C10" s="2">
        <f>AtmosphereISA!C6:F6</f>
        <v>60</v>
      </c>
      <c r="D10" s="2">
        <f>AtmosphereISA!D6:G6</f>
        <v>0.06</v>
      </c>
      <c r="E10" s="2">
        <f>AtmosphereISA!E6:H6</f>
        <v>100623</v>
      </c>
      <c r="F10" s="2">
        <f>AtmosphereISA!F6:I6</f>
        <v>14.61</v>
      </c>
      <c r="G10" s="2">
        <f>AtmosphereISA!G6:J6</f>
        <v>287.76</v>
      </c>
      <c r="H10" s="3">
        <f t="shared" si="0"/>
        <v>296.96832000000001</v>
      </c>
      <c r="I10" s="4">
        <f t="shared" si="1"/>
        <v>1.123508084556748</v>
      </c>
      <c r="J10" s="3">
        <f t="shared" si="2"/>
        <v>324.59327999999994</v>
      </c>
      <c r="K10" s="4">
        <f t="shared" si="3"/>
        <v>1.533836647818198</v>
      </c>
      <c r="L10" s="3">
        <f t="shared" si="4"/>
        <v>435.09312</v>
      </c>
      <c r="M10" s="4">
        <f t="shared" si="5"/>
        <v>4.2768944307545382</v>
      </c>
      <c r="N10" s="3">
        <f t="shared" si="6"/>
        <v>992.77199999999982</v>
      </c>
      <c r="O10" s="4">
        <f t="shared" si="7"/>
        <v>76.74747465654211</v>
      </c>
      <c r="P10" s="3">
        <f t="shared" si="8"/>
        <v>3107.8079999999991</v>
      </c>
      <c r="Q10" s="10">
        <f t="shared" si="9"/>
        <v>4165.6272488767763</v>
      </c>
      <c r="R10" s="8"/>
      <c r="S10" s="8"/>
    </row>
    <row r="11" spans="3:20" x14ac:dyDescent="0.25">
      <c r="C11" s="2">
        <f>AtmosphereISA!C7:F7</f>
        <v>100</v>
      </c>
      <c r="D11" s="2">
        <f>AtmosphereISA!D7:G7</f>
        <v>0.1</v>
      </c>
      <c r="E11" s="2">
        <f>AtmosphereISA!E7:H7</f>
        <v>100146</v>
      </c>
      <c r="F11" s="2">
        <f>AtmosphereISA!F7:I7</f>
        <v>14.35</v>
      </c>
      <c r="G11" s="2">
        <f>AtmosphereISA!G7:J7</f>
        <v>287.5</v>
      </c>
      <c r="H11" s="3">
        <f t="shared" si="0"/>
        <v>296.7</v>
      </c>
      <c r="I11" s="4">
        <f t="shared" si="1"/>
        <v>1.1181821316798355</v>
      </c>
      <c r="J11" s="3">
        <f t="shared" si="2"/>
        <v>324.29999999999995</v>
      </c>
      <c r="K11" s="4">
        <f t="shared" si="3"/>
        <v>1.5265655459726035</v>
      </c>
      <c r="L11" s="3">
        <f t="shared" si="4"/>
        <v>434.7</v>
      </c>
      <c r="M11" s="4">
        <f t="shared" si="5"/>
        <v>4.2566199543081007</v>
      </c>
      <c r="N11" s="3">
        <f t="shared" si="6"/>
        <v>991.87499999999977</v>
      </c>
      <c r="O11" s="4">
        <f t="shared" si="7"/>
        <v>76.383655793944399</v>
      </c>
      <c r="P11" s="3">
        <f t="shared" si="8"/>
        <v>3104.9999999999991</v>
      </c>
      <c r="Q11" s="10">
        <f t="shared" si="9"/>
        <v>4145.8802308221148</v>
      </c>
      <c r="R11" s="8"/>
      <c r="S11" s="8"/>
    </row>
    <row r="12" spans="3:20" x14ac:dyDescent="0.25">
      <c r="C12" s="2">
        <f>AtmosphereISA!C8:F8</f>
        <v>150</v>
      </c>
      <c r="D12" s="2">
        <f>AtmosphereISA!D8:G8</f>
        <v>0.15</v>
      </c>
      <c r="E12" s="2">
        <f>AtmosphereISA!E8:H8</f>
        <v>99553</v>
      </c>
      <c r="F12" s="2">
        <f>AtmosphereISA!F8:I8</f>
        <v>14.02</v>
      </c>
      <c r="G12" s="2">
        <f>AtmosphereISA!G8:J8</f>
        <v>287.16999999999996</v>
      </c>
      <c r="H12" s="3">
        <f t="shared" si="0"/>
        <v>296.35943999999995</v>
      </c>
      <c r="I12" s="4">
        <f t="shared" si="1"/>
        <v>1.1115609785225837</v>
      </c>
      <c r="J12" s="3">
        <f t="shared" si="2"/>
        <v>323.92775999999992</v>
      </c>
      <c r="K12" s="4">
        <f t="shared" si="3"/>
        <v>1.5175262097159206</v>
      </c>
      <c r="L12" s="3">
        <f t="shared" si="4"/>
        <v>434.20103999999992</v>
      </c>
      <c r="M12" s="4">
        <f t="shared" si="5"/>
        <v>4.2314149972164072</v>
      </c>
      <c r="N12" s="3">
        <f t="shared" si="6"/>
        <v>990.73649999999964</v>
      </c>
      <c r="O12" s="4">
        <f t="shared" si="7"/>
        <v>75.931361065389993</v>
      </c>
      <c r="P12" s="3">
        <f t="shared" si="8"/>
        <v>3101.4359999999988</v>
      </c>
      <c r="Q12" s="10">
        <f t="shared" si="9"/>
        <v>4121.3310029260674</v>
      </c>
      <c r="R12" s="8"/>
      <c r="S12" s="8"/>
    </row>
    <row r="13" spans="3:20" x14ac:dyDescent="0.25">
      <c r="C13" s="2">
        <f>AtmosphereISA!C9:F9</f>
        <v>210</v>
      </c>
      <c r="D13" s="2">
        <f>AtmosphereISA!D9:G9</f>
        <v>0.21</v>
      </c>
      <c r="E13" s="2">
        <f>AtmosphereISA!E9:H9</f>
        <v>98844</v>
      </c>
      <c r="F13" s="2">
        <f>AtmosphereISA!F9:I9</f>
        <v>13.63</v>
      </c>
      <c r="G13" s="2">
        <f>AtmosphereISA!G9:J9</f>
        <v>286.77999999999997</v>
      </c>
      <c r="H13" s="3">
        <f t="shared" si="0"/>
        <v>295.95695999999998</v>
      </c>
      <c r="I13" s="4">
        <f t="shared" si="1"/>
        <v>1.1036446250849925</v>
      </c>
      <c r="J13" s="3">
        <f t="shared" si="2"/>
        <v>323.48783999999995</v>
      </c>
      <c r="K13" s="4">
        <f t="shared" si="3"/>
        <v>1.5067186390481497</v>
      </c>
      <c r="L13" s="3">
        <f t="shared" si="4"/>
        <v>433.61135999999993</v>
      </c>
      <c r="M13" s="4">
        <f t="shared" si="5"/>
        <v>4.2012795594794587</v>
      </c>
      <c r="N13" s="3">
        <f t="shared" si="6"/>
        <v>989.39099999999974</v>
      </c>
      <c r="O13" s="4">
        <f t="shared" si="7"/>
        <v>75.390590470878905</v>
      </c>
      <c r="P13" s="3">
        <f t="shared" si="8"/>
        <v>3097.2239999999988</v>
      </c>
      <c r="Q13" s="10">
        <f t="shared" si="9"/>
        <v>4091.9795651886352</v>
      </c>
      <c r="R13" s="8"/>
      <c r="S13" s="8"/>
    </row>
    <row r="14" spans="3:20" x14ac:dyDescent="0.25">
      <c r="C14" s="2">
        <f>AtmosphereISA!C10:F10</f>
        <v>280</v>
      </c>
      <c r="D14" s="2">
        <f>AtmosphereISA!D10:G10</f>
        <v>0.28000000000000003</v>
      </c>
      <c r="E14" s="2">
        <f>AtmosphereISA!E10:H10</f>
        <v>98023</v>
      </c>
      <c r="F14" s="2">
        <f>AtmosphereISA!F10:I10</f>
        <v>13.18</v>
      </c>
      <c r="G14" s="2">
        <f>AtmosphereISA!G10:J10</f>
        <v>286.33</v>
      </c>
      <c r="H14" s="3">
        <f t="shared" si="0"/>
        <v>295.49255999999997</v>
      </c>
      <c r="I14" s="4">
        <f t="shared" si="1"/>
        <v>1.0944777334456945</v>
      </c>
      <c r="J14" s="3">
        <f t="shared" si="2"/>
        <v>322.98023999999992</v>
      </c>
      <c r="K14" s="4">
        <f t="shared" si="3"/>
        <v>1.4942038075696733</v>
      </c>
      <c r="L14" s="3">
        <f t="shared" si="4"/>
        <v>432.93095999999997</v>
      </c>
      <c r="M14" s="4">
        <f t="shared" si="5"/>
        <v>4.1663836576712292</v>
      </c>
      <c r="N14" s="3">
        <f t="shared" si="6"/>
        <v>987.83849999999973</v>
      </c>
      <c r="O14" s="4">
        <f t="shared" si="7"/>
        <v>74.764394902340698</v>
      </c>
      <c r="P14" s="3">
        <f t="shared" si="8"/>
        <v>3092.3639999999991</v>
      </c>
      <c r="Q14" s="10">
        <f t="shared" si="9"/>
        <v>4057.9915110526244</v>
      </c>
      <c r="R14" s="8"/>
      <c r="S14" s="8"/>
    </row>
    <row r="15" spans="3:20" x14ac:dyDescent="0.25">
      <c r="C15" s="2">
        <f>AtmosphereISA!C11:F11</f>
        <v>360</v>
      </c>
      <c r="D15" s="2">
        <f>AtmosphereISA!D11:G11</f>
        <v>0.36</v>
      </c>
      <c r="E15" s="2">
        <f>AtmosphereISA!E11:H11</f>
        <v>97091</v>
      </c>
      <c r="F15" s="2">
        <f>AtmosphereISA!F11:I11</f>
        <v>12.66</v>
      </c>
      <c r="G15" s="2">
        <f>AtmosphereISA!G11:J11</f>
        <v>285.81</v>
      </c>
      <c r="H15" s="3">
        <f t="shared" si="0"/>
        <v>294.95591999999999</v>
      </c>
      <c r="I15" s="4">
        <f t="shared" si="1"/>
        <v>1.0840714691243476</v>
      </c>
      <c r="J15" s="3">
        <f t="shared" si="2"/>
        <v>322.39367999999996</v>
      </c>
      <c r="K15" s="4">
        <f t="shared" si="3"/>
        <v>1.4799969586805866</v>
      </c>
      <c r="L15" s="3">
        <f t="shared" si="4"/>
        <v>432.14472000000001</v>
      </c>
      <c r="M15" s="4">
        <f t="shared" si="5"/>
        <v>4.1267697959352123</v>
      </c>
      <c r="N15" s="3">
        <f t="shared" si="6"/>
        <v>986.04449999999986</v>
      </c>
      <c r="O15" s="4">
        <f t="shared" si="7"/>
        <v>74.053537082757728</v>
      </c>
      <c r="P15" s="3">
        <f t="shared" si="8"/>
        <v>3086.7479999999991</v>
      </c>
      <c r="Q15" s="10">
        <f t="shared" si="9"/>
        <v>4019.408238878736</v>
      </c>
      <c r="R15" s="8"/>
      <c r="S15" s="8"/>
    </row>
    <row r="16" spans="3:20" x14ac:dyDescent="0.25">
      <c r="C16" s="2">
        <f>AtmosphereISA!C12:F12</f>
        <v>450</v>
      </c>
      <c r="D16" s="2">
        <f>AtmosphereISA!D12:G12</f>
        <v>0.45</v>
      </c>
      <c r="E16" s="2">
        <f>AtmosphereISA!E12:H12</f>
        <v>96051</v>
      </c>
      <c r="F16" s="2">
        <f>AtmosphereISA!F12:I12</f>
        <v>12.07</v>
      </c>
      <c r="G16" s="2">
        <f>AtmosphereISA!G12:J12</f>
        <v>285.21999999999997</v>
      </c>
      <c r="H16" s="3">
        <f t="shared" si="0"/>
        <v>294.34703999999999</v>
      </c>
      <c r="I16" s="4">
        <f t="shared" si="1"/>
        <v>1.0724593286799262</v>
      </c>
      <c r="J16" s="3">
        <f t="shared" si="2"/>
        <v>321.72815999999995</v>
      </c>
      <c r="K16" s="4">
        <f t="shared" si="3"/>
        <v>1.4641438225811767</v>
      </c>
      <c r="L16" s="3">
        <f t="shared" si="4"/>
        <v>431.25263999999999</v>
      </c>
      <c r="M16" s="4">
        <f t="shared" si="5"/>
        <v>4.0825654867018883</v>
      </c>
      <c r="N16" s="3">
        <f t="shared" si="6"/>
        <v>984.00899999999967</v>
      </c>
      <c r="O16" s="4">
        <f t="shared" si="7"/>
        <v>73.260305181077157</v>
      </c>
      <c r="P16" s="3">
        <f t="shared" si="8"/>
        <v>3080.3759999999988</v>
      </c>
      <c r="Q16" s="10">
        <f t="shared" si="9"/>
        <v>3976.3539437490754</v>
      </c>
      <c r="R16" s="8"/>
      <c r="S16" s="8"/>
    </row>
    <row r="17" spans="3:19" x14ac:dyDescent="0.25">
      <c r="C17" s="2">
        <f>AtmosphereISA!C13:F13</f>
        <v>550</v>
      </c>
      <c r="D17" s="2">
        <f>AtmosphereISA!D13:G13</f>
        <v>0.55000000000000004</v>
      </c>
      <c r="E17" s="2">
        <f>AtmosphereISA!E13:H13</f>
        <v>94907</v>
      </c>
      <c r="F17" s="2">
        <f>AtmosphereISA!F13:I13</f>
        <v>11.42</v>
      </c>
      <c r="G17" s="2">
        <f>AtmosphereISA!G13:J13</f>
        <v>284.57</v>
      </c>
      <c r="H17" s="3">
        <f t="shared" si="0"/>
        <v>293.67624000000001</v>
      </c>
      <c r="I17" s="4">
        <f t="shared" si="1"/>
        <v>1.0596859741910625</v>
      </c>
      <c r="J17" s="3">
        <f t="shared" si="2"/>
        <v>320.99495999999994</v>
      </c>
      <c r="K17" s="4">
        <f t="shared" si="3"/>
        <v>1.4467053728718258</v>
      </c>
      <c r="L17" s="3">
        <f t="shared" si="4"/>
        <v>430.26983999999999</v>
      </c>
      <c r="M17" s="4">
        <f t="shared" si="5"/>
        <v>4.033940746545233</v>
      </c>
      <c r="N17" s="3">
        <f t="shared" si="6"/>
        <v>981.76649999999972</v>
      </c>
      <c r="O17" s="4">
        <f t="shared" si="7"/>
        <v>72.387750089228533</v>
      </c>
      <c r="P17" s="3">
        <f t="shared" si="8"/>
        <v>3073.3559999999993</v>
      </c>
      <c r="Q17" s="10">
        <f t="shared" si="9"/>
        <v>3928.9942191064488</v>
      </c>
      <c r="R17" s="8"/>
      <c r="S17" s="8"/>
    </row>
    <row r="18" spans="3:19" x14ac:dyDescent="0.25">
      <c r="C18" s="2">
        <f>AtmosphereISA!C14:F14</f>
        <v>660</v>
      </c>
      <c r="D18" s="2">
        <f>AtmosphereISA!D14:G14</f>
        <v>0.66</v>
      </c>
      <c r="E18" s="2">
        <f>AtmosphereISA!E14:H14</f>
        <v>93660</v>
      </c>
      <c r="F18" s="2">
        <f>AtmosphereISA!F14:I14</f>
        <v>10.71</v>
      </c>
      <c r="G18" s="2">
        <f>AtmosphereISA!G14:J14</f>
        <v>283.85999999999996</v>
      </c>
      <c r="H18" s="3">
        <f t="shared" si="0"/>
        <v>292.94351999999998</v>
      </c>
      <c r="I18" s="4">
        <f t="shared" si="1"/>
        <v>1.045762571177415</v>
      </c>
      <c r="J18" s="3">
        <f t="shared" si="2"/>
        <v>320.19407999999993</v>
      </c>
      <c r="K18" s="4">
        <f t="shared" si="3"/>
        <v>1.4276968529526295</v>
      </c>
      <c r="L18" s="3">
        <f t="shared" si="4"/>
        <v>429.19631999999996</v>
      </c>
      <c r="M18" s="4">
        <f t="shared" si="5"/>
        <v>3.9809380796087384</v>
      </c>
      <c r="N18" s="3">
        <f t="shared" si="6"/>
        <v>979.31699999999967</v>
      </c>
      <c r="O18" s="4">
        <f t="shared" si="7"/>
        <v>71.43663453019424</v>
      </c>
      <c r="P18" s="3">
        <f t="shared" si="8"/>
        <v>3065.6879999999987</v>
      </c>
      <c r="Q18" s="10">
        <f t="shared" si="9"/>
        <v>3877.3704633115572</v>
      </c>
      <c r="R18" s="8"/>
      <c r="S18" s="8"/>
    </row>
    <row r="19" spans="3:19" x14ac:dyDescent="0.25">
      <c r="C19" s="2">
        <f>AtmosphereISA!C15:F15</f>
        <v>780</v>
      </c>
      <c r="D19" s="2">
        <f>AtmosphereISA!D15:G15</f>
        <v>0.78</v>
      </c>
      <c r="E19" s="2">
        <f>AtmosphereISA!E15:H15</f>
        <v>92316</v>
      </c>
      <c r="F19" s="2">
        <f>AtmosphereISA!F15:I15</f>
        <v>9.93</v>
      </c>
      <c r="G19" s="2">
        <f>AtmosphereISA!G15:J15</f>
        <v>283.08</v>
      </c>
      <c r="H19" s="3">
        <f t="shared" si="0"/>
        <v>292.13855999999998</v>
      </c>
      <c r="I19" s="4">
        <f t="shared" si="1"/>
        <v>1.030756112756932</v>
      </c>
      <c r="J19" s="3">
        <f t="shared" si="2"/>
        <v>319.31423999999993</v>
      </c>
      <c r="K19" s="4">
        <f t="shared" si="3"/>
        <v>1.4072097232241612</v>
      </c>
      <c r="L19" s="3">
        <f t="shared" si="4"/>
        <v>428.01695999999998</v>
      </c>
      <c r="M19" s="4">
        <f t="shared" si="5"/>
        <v>3.9238125107533661</v>
      </c>
      <c r="N19" s="3">
        <f t="shared" si="6"/>
        <v>976.62599999999975</v>
      </c>
      <c r="O19" s="4">
        <f t="shared" si="7"/>
        <v>70.411534841868573</v>
      </c>
      <c r="P19" s="3">
        <f t="shared" si="8"/>
        <v>3057.2639999999992</v>
      </c>
      <c r="Q19" s="10">
        <f t="shared" si="9"/>
        <v>3821.7310665286113</v>
      </c>
      <c r="R19" s="8"/>
      <c r="S19" s="8"/>
    </row>
    <row r="20" spans="3:19" x14ac:dyDescent="0.25">
      <c r="C20" s="2">
        <f>AtmosphereISA!C16:F16</f>
        <v>910</v>
      </c>
      <c r="D20" s="2">
        <f>AtmosphereISA!D16:G16</f>
        <v>0.91</v>
      </c>
      <c r="E20" s="2">
        <f>AtmosphereISA!E16:H16</f>
        <v>90877</v>
      </c>
      <c r="F20" s="2">
        <f>AtmosphereISA!F16:I16</f>
        <v>9.08</v>
      </c>
      <c r="G20" s="2">
        <f>AtmosphereISA!G16:J16</f>
        <v>282.22999999999996</v>
      </c>
      <c r="H20" s="3">
        <f t="shared" si="0"/>
        <v>291.26135999999997</v>
      </c>
      <c r="I20" s="4">
        <f t="shared" si="1"/>
        <v>1.0146889299689297</v>
      </c>
      <c r="J20" s="3">
        <f t="shared" si="2"/>
        <v>318.35543999999993</v>
      </c>
      <c r="K20" s="4">
        <f t="shared" si="3"/>
        <v>1.385274470486612</v>
      </c>
      <c r="L20" s="3">
        <f t="shared" si="4"/>
        <v>426.73175999999995</v>
      </c>
      <c r="M20" s="4">
        <f t="shared" si="5"/>
        <v>3.8626490482661042</v>
      </c>
      <c r="N20" s="3">
        <f t="shared" si="6"/>
        <v>973.69349999999963</v>
      </c>
      <c r="O20" s="4">
        <f t="shared" si="7"/>
        <v>69.313976470216332</v>
      </c>
      <c r="P20" s="3">
        <f t="shared" si="8"/>
        <v>3048.0839999999989</v>
      </c>
      <c r="Q20" s="10">
        <f t="shared" si="9"/>
        <v>3762.1588254790131</v>
      </c>
      <c r="R20" s="8"/>
      <c r="S20" s="8"/>
    </row>
    <row r="21" spans="3:19" x14ac:dyDescent="0.25">
      <c r="C21" s="2">
        <f>AtmosphereISA!C17:F17</f>
        <v>1050</v>
      </c>
      <c r="D21" s="2">
        <f>AtmosphereISA!D17:G17</f>
        <v>1.05</v>
      </c>
      <c r="E21" s="2">
        <f>AtmosphereISA!E17:H17</f>
        <v>89348</v>
      </c>
      <c r="F21" s="2">
        <f>AtmosphereISA!F17:I17</f>
        <v>8.17</v>
      </c>
      <c r="G21" s="2">
        <f>AtmosphereISA!G17:J17</f>
        <v>281.32</v>
      </c>
      <c r="H21" s="3">
        <f t="shared" si="0"/>
        <v>290.32224000000002</v>
      </c>
      <c r="I21" s="4">
        <f t="shared" si="1"/>
        <v>0.99761685041169834</v>
      </c>
      <c r="J21" s="3">
        <f t="shared" si="2"/>
        <v>317.32895999999994</v>
      </c>
      <c r="K21" s="4">
        <f t="shared" si="3"/>
        <v>1.3619673117404605</v>
      </c>
      <c r="L21" s="3">
        <f t="shared" si="4"/>
        <v>425.35584</v>
      </c>
      <c r="M21" s="4">
        <f t="shared" si="5"/>
        <v>3.7976602128644195</v>
      </c>
      <c r="N21" s="3">
        <f t="shared" si="6"/>
        <v>970.55399999999975</v>
      </c>
      <c r="O21" s="4">
        <f t="shared" si="7"/>
        <v>68.147773030149409</v>
      </c>
      <c r="P21" s="3">
        <f t="shared" si="8"/>
        <v>3038.2559999999989</v>
      </c>
      <c r="Q21" s="10">
        <f t="shared" si="9"/>
        <v>3698.8607319662719</v>
      </c>
      <c r="R21" s="8"/>
      <c r="S21" s="8"/>
    </row>
    <row r="22" spans="3:19" x14ac:dyDescent="0.25">
      <c r="C22" s="2">
        <f>AtmosphereISA!C18:F18</f>
        <v>1200</v>
      </c>
      <c r="D22" s="2">
        <f>AtmosphereISA!D18:G18</f>
        <v>1.2</v>
      </c>
      <c r="E22" s="2">
        <f>AtmosphereISA!E18:H18</f>
        <v>87732</v>
      </c>
      <c r="F22" s="2">
        <f>AtmosphereISA!F18:I18</f>
        <v>7.2</v>
      </c>
      <c r="G22" s="2">
        <f>AtmosphereISA!G18:J18</f>
        <v>280.34999999999997</v>
      </c>
      <c r="H22" s="3">
        <f t="shared" si="0"/>
        <v>289.32119999999998</v>
      </c>
      <c r="I22" s="4">
        <f t="shared" si="1"/>
        <v>0.97957337064421279</v>
      </c>
      <c r="J22" s="3">
        <f t="shared" si="2"/>
        <v>316.23479999999995</v>
      </c>
      <c r="K22" s="4">
        <f t="shared" si="3"/>
        <v>1.3373339771859927</v>
      </c>
      <c r="L22" s="3">
        <f t="shared" si="4"/>
        <v>423.88919999999996</v>
      </c>
      <c r="M22" s="4">
        <f t="shared" si="5"/>
        <v>3.7289735169787939</v>
      </c>
      <c r="N22" s="3">
        <f t="shared" si="6"/>
        <v>967.20749999999964</v>
      </c>
      <c r="O22" s="4">
        <f t="shared" si="7"/>
        <v>66.915212690614993</v>
      </c>
      <c r="P22" s="3">
        <f t="shared" si="8"/>
        <v>3027.7799999999988</v>
      </c>
      <c r="Q22" s="10">
        <f t="shared" si="9"/>
        <v>3631.9609810724914</v>
      </c>
      <c r="R22" s="8"/>
      <c r="S22" s="8"/>
    </row>
    <row r="23" spans="3:19" x14ac:dyDescent="0.25">
      <c r="C23" s="2">
        <f>AtmosphereISA!C19:F19</f>
        <v>1360</v>
      </c>
      <c r="D23" s="2">
        <f>AtmosphereISA!D19:G19</f>
        <v>1.36</v>
      </c>
      <c r="E23" s="2">
        <f>AtmosphereISA!E19:H19</f>
        <v>86035</v>
      </c>
      <c r="F23" s="2">
        <f>AtmosphereISA!F19:I19</f>
        <v>6.16</v>
      </c>
      <c r="G23" s="2">
        <f>AtmosphereISA!G19:J19</f>
        <v>279.31</v>
      </c>
      <c r="H23" s="3">
        <f t="shared" si="0"/>
        <v>288.24792000000002</v>
      </c>
      <c r="I23" s="4">
        <f t="shared" si="1"/>
        <v>0.96062548378442125</v>
      </c>
      <c r="J23" s="3">
        <f t="shared" si="2"/>
        <v>315.06167999999997</v>
      </c>
      <c r="K23" s="4">
        <f t="shared" si="3"/>
        <v>1.3114659272237827</v>
      </c>
      <c r="L23" s="3">
        <f t="shared" si="4"/>
        <v>422.31672000000003</v>
      </c>
      <c r="M23" s="4">
        <f t="shared" si="5"/>
        <v>3.6568439854701875</v>
      </c>
      <c r="N23" s="3">
        <f t="shared" si="6"/>
        <v>963.61949999999979</v>
      </c>
      <c r="O23" s="4">
        <f t="shared" si="7"/>
        <v>65.620871789507376</v>
      </c>
      <c r="P23" s="3">
        <f t="shared" si="8"/>
        <v>3016.5479999999993</v>
      </c>
      <c r="Q23" s="10">
        <f t="shared" si="9"/>
        <v>3561.7079629618815</v>
      </c>
      <c r="R23" s="8"/>
      <c r="S23" s="8"/>
    </row>
    <row r="24" spans="3:19" x14ac:dyDescent="0.25">
      <c r="C24" s="2">
        <f>AtmosphereISA!C20:F20</f>
        <v>1530</v>
      </c>
      <c r="D24" s="2">
        <f>AtmosphereISA!D20:G20</f>
        <v>1.53</v>
      </c>
      <c r="E24" s="2">
        <f>AtmosphereISA!E20:H20</f>
        <v>84262</v>
      </c>
      <c r="F24" s="2">
        <f>AtmosphereISA!F20:I20</f>
        <v>5.05</v>
      </c>
      <c r="G24" s="2">
        <f>AtmosphereISA!G20:J20</f>
        <v>278.2</v>
      </c>
      <c r="H24" s="3">
        <f t="shared" si="0"/>
        <v>287.10239999999999</v>
      </c>
      <c r="I24" s="4">
        <f t="shared" si="1"/>
        <v>0.94082901743061431</v>
      </c>
      <c r="J24" s="3">
        <f t="shared" si="2"/>
        <v>313.80959999999993</v>
      </c>
      <c r="K24" s="4">
        <f t="shared" si="3"/>
        <v>1.2844393788543078</v>
      </c>
      <c r="L24" s="3">
        <f t="shared" si="4"/>
        <v>420.63839999999999</v>
      </c>
      <c r="M24" s="4">
        <f t="shared" si="5"/>
        <v>3.5814841390560694</v>
      </c>
      <c r="N24" s="3">
        <f t="shared" si="6"/>
        <v>959.78999999999974</v>
      </c>
      <c r="O24" s="4">
        <f t="shared" si="7"/>
        <v>64.268563941738478</v>
      </c>
      <c r="P24" s="3">
        <f t="shared" si="8"/>
        <v>3004.559999999999</v>
      </c>
      <c r="Q24" s="10">
        <f t="shared" si="9"/>
        <v>3488.3086694379508</v>
      </c>
      <c r="R24" s="8"/>
      <c r="S24" s="8"/>
    </row>
    <row r="25" spans="3:19" x14ac:dyDescent="0.25">
      <c r="C25" s="2">
        <f>AtmosphereISA!C21:F21</f>
        <v>1710</v>
      </c>
      <c r="D25" s="2">
        <f>AtmosphereISA!D21:G21</f>
        <v>1.71</v>
      </c>
      <c r="E25" s="2">
        <f>AtmosphereISA!E21:H21</f>
        <v>82416</v>
      </c>
      <c r="F25" s="2">
        <f>AtmosphereISA!F21:I21</f>
        <v>3.88</v>
      </c>
      <c r="G25" s="2">
        <f>AtmosphereISA!G21:J21</f>
        <v>277.02999999999997</v>
      </c>
      <c r="H25" s="3">
        <f t="shared" si="0"/>
        <v>285.89495999999997</v>
      </c>
      <c r="I25" s="4">
        <f t="shared" si="1"/>
        <v>0.9202174681417663</v>
      </c>
      <c r="J25" s="3">
        <f t="shared" si="2"/>
        <v>312.48983999999996</v>
      </c>
      <c r="K25" s="4">
        <f t="shared" si="3"/>
        <v>1.2563000622778551</v>
      </c>
      <c r="L25" s="3">
        <f t="shared" si="4"/>
        <v>418.86935999999997</v>
      </c>
      <c r="M25" s="4">
        <f t="shared" si="5"/>
        <v>3.5030214901669203</v>
      </c>
      <c r="N25" s="3">
        <f t="shared" si="6"/>
        <v>955.75349999999969</v>
      </c>
      <c r="O25" s="4">
        <f t="shared" si="7"/>
        <v>62.86057731625548</v>
      </c>
      <c r="P25" s="3">
        <f t="shared" si="8"/>
        <v>2991.9239999999991</v>
      </c>
      <c r="Q25" s="10">
        <f t="shared" si="9"/>
        <v>3411.8872955828028</v>
      </c>
      <c r="R25" s="8"/>
      <c r="S25" s="8"/>
    </row>
    <row r="26" spans="3:19" x14ac:dyDescent="0.25">
      <c r="C26" s="2">
        <f>AtmosphereISA!C22:F22</f>
        <v>1900</v>
      </c>
      <c r="D26" s="2">
        <f>AtmosphereISA!D22:G22</f>
        <v>1.9</v>
      </c>
      <c r="E26" s="2">
        <f>AtmosphereISA!E22:H22</f>
        <v>80504</v>
      </c>
      <c r="F26" s="2">
        <f>AtmosphereISA!F22:I22</f>
        <v>2.65</v>
      </c>
      <c r="G26" s="2">
        <f>AtmosphereISA!G22:J22</f>
        <v>275.79999999999995</v>
      </c>
      <c r="H26" s="3">
        <f t="shared" si="0"/>
        <v>284.62559999999996</v>
      </c>
      <c r="I26" s="4">
        <f t="shared" si="1"/>
        <v>0.89886899455548386</v>
      </c>
      <c r="J26" s="3">
        <f t="shared" si="2"/>
        <v>311.10239999999993</v>
      </c>
      <c r="K26" s="4">
        <f t="shared" si="3"/>
        <v>1.2271546812950938</v>
      </c>
      <c r="L26" s="3">
        <f t="shared" si="4"/>
        <v>417.00959999999992</v>
      </c>
      <c r="M26" s="4">
        <f t="shared" si="5"/>
        <v>3.4217535678071949</v>
      </c>
      <c r="N26" s="3">
        <f t="shared" si="6"/>
        <v>951.50999999999965</v>
      </c>
      <c r="O26" s="4">
        <f t="shared" si="7"/>
        <v>61.402250973935047</v>
      </c>
      <c r="P26" s="3">
        <f t="shared" si="8"/>
        <v>2978.6399999999985</v>
      </c>
      <c r="Q26" s="10">
        <f t="shared" si="9"/>
        <v>3332.7336299213498</v>
      </c>
      <c r="R26" s="8"/>
      <c r="S26" s="8"/>
    </row>
    <row r="27" spans="3:19" x14ac:dyDescent="0.25">
      <c r="C27" s="2">
        <f>AtmosphereISA!C23:F23</f>
        <v>2100</v>
      </c>
      <c r="D27" s="2">
        <f>AtmosphereISA!D23:G23</f>
        <v>2.1</v>
      </c>
      <c r="E27" s="2">
        <f>AtmosphereISA!E23:H23</f>
        <v>78529</v>
      </c>
      <c r="F27" s="2">
        <f>AtmosphereISA!F23:I23</f>
        <v>1.35</v>
      </c>
      <c r="G27" s="2">
        <f>AtmosphereISA!G23:J23</f>
        <v>274.5</v>
      </c>
      <c r="H27" s="3">
        <f t="shared" si="0"/>
        <v>283.28399999999999</v>
      </c>
      <c r="I27" s="4">
        <f t="shared" si="1"/>
        <v>0.8768170932307412</v>
      </c>
      <c r="J27" s="3">
        <f t="shared" si="2"/>
        <v>309.63599999999997</v>
      </c>
      <c r="K27" s="4">
        <f t="shared" si="3"/>
        <v>1.1970489661063104</v>
      </c>
      <c r="L27" s="3">
        <f t="shared" si="4"/>
        <v>415.04399999999998</v>
      </c>
      <c r="M27" s="4">
        <f t="shared" si="5"/>
        <v>3.3378078844073733</v>
      </c>
      <c r="N27" s="3">
        <f t="shared" si="6"/>
        <v>947.02499999999975</v>
      </c>
      <c r="O27" s="4">
        <f t="shared" si="7"/>
        <v>59.895873083724354</v>
      </c>
      <c r="P27" s="3">
        <f t="shared" si="8"/>
        <v>2964.599999999999</v>
      </c>
      <c r="Q27" s="10">
        <f t="shared" si="9"/>
        <v>3250.9718675356962</v>
      </c>
      <c r="R27" s="8"/>
      <c r="S27" s="8"/>
    </row>
    <row r="28" spans="3:19" x14ac:dyDescent="0.25">
      <c r="C28" s="2">
        <f>AtmosphereISA!C24:F24</f>
        <v>2310</v>
      </c>
      <c r="D28" s="2">
        <f>AtmosphereISA!D24:G24</f>
        <v>2.31</v>
      </c>
      <c r="E28" s="2">
        <f>AtmosphereISA!E24:H24</f>
        <v>76499</v>
      </c>
      <c r="F28" s="2">
        <f>AtmosphereISA!F24:I24</f>
        <v>-0.02</v>
      </c>
      <c r="G28" s="2">
        <f>AtmosphereISA!G24:J24</f>
        <v>273.13</v>
      </c>
      <c r="H28" s="3">
        <f t="shared" si="0"/>
        <v>281.87016</v>
      </c>
      <c r="I28" s="4">
        <f t="shared" si="1"/>
        <v>0.85415108832480324</v>
      </c>
      <c r="J28" s="3">
        <f t="shared" si="2"/>
        <v>308.09063999999995</v>
      </c>
      <c r="K28" s="4">
        <f t="shared" si="3"/>
        <v>1.16610486391227</v>
      </c>
      <c r="L28" s="3">
        <f t="shared" si="4"/>
        <v>412.97255999999999</v>
      </c>
      <c r="M28" s="4">
        <f t="shared" si="5"/>
        <v>3.2515244731154054</v>
      </c>
      <c r="N28" s="3">
        <f t="shared" si="6"/>
        <v>942.29849999999976</v>
      </c>
      <c r="O28" s="4">
        <f t="shared" si="7"/>
        <v>58.34754542948248</v>
      </c>
      <c r="P28" s="3">
        <f t="shared" si="8"/>
        <v>2949.8039999999992</v>
      </c>
      <c r="Q28" s="10">
        <f t="shared" si="9"/>
        <v>3166.9331953114547</v>
      </c>
      <c r="R28" s="8"/>
      <c r="S28" s="8"/>
    </row>
    <row r="29" spans="3:19" x14ac:dyDescent="0.25">
      <c r="C29" s="2">
        <f>AtmosphereISA!C25:F25</f>
        <v>2530</v>
      </c>
      <c r="D29" s="2">
        <f>AtmosphereISA!D25:G25</f>
        <v>2.5299999999999998</v>
      </c>
      <c r="E29" s="2">
        <f>AtmosphereISA!E25:H25</f>
        <v>74418</v>
      </c>
      <c r="F29" s="2">
        <f>AtmosphereISA!F25:I25</f>
        <v>-1.45</v>
      </c>
      <c r="G29" s="2">
        <f>AtmosphereISA!G25:J25</f>
        <v>271.7</v>
      </c>
      <c r="H29" s="3">
        <f t="shared" si="0"/>
        <v>280.39440000000002</v>
      </c>
      <c r="I29" s="4">
        <f t="shared" si="1"/>
        <v>0.83091564191630229</v>
      </c>
      <c r="J29" s="3">
        <f t="shared" si="2"/>
        <v>306.47759999999994</v>
      </c>
      <c r="K29" s="4">
        <f t="shared" si="3"/>
        <v>1.1343833483133543</v>
      </c>
      <c r="L29" s="3">
        <f t="shared" si="4"/>
        <v>410.81039999999996</v>
      </c>
      <c r="M29" s="4">
        <f t="shared" si="5"/>
        <v>3.1630733505052642</v>
      </c>
      <c r="N29" s="3">
        <f t="shared" si="6"/>
        <v>937.36499999999978</v>
      </c>
      <c r="O29" s="4">
        <f t="shared" si="7"/>
        <v>56.760318903138952</v>
      </c>
      <c r="P29" s="3">
        <f t="shared" si="8"/>
        <v>2934.3599999999992</v>
      </c>
      <c r="Q29" s="10">
        <f t="shared" si="9"/>
        <v>3080.7832066914316</v>
      </c>
      <c r="R29" s="8"/>
      <c r="S29" s="8"/>
    </row>
    <row r="30" spans="3:19" x14ac:dyDescent="0.25">
      <c r="C30" s="2">
        <f>AtmosphereISA!C26:F26</f>
        <v>2760</v>
      </c>
      <c r="D30" s="2">
        <f>AtmosphereISA!D26:G26</f>
        <v>2.76</v>
      </c>
      <c r="E30" s="2">
        <f>AtmosphereISA!E26:H26</f>
        <v>72291</v>
      </c>
      <c r="F30" s="2">
        <f>AtmosphereISA!F26:I26</f>
        <v>-2.94</v>
      </c>
      <c r="G30" s="2">
        <f>AtmosphereISA!G26:J26</f>
        <v>270.20999999999998</v>
      </c>
      <c r="H30" s="3">
        <f t="shared" si="0"/>
        <v>278.85672</v>
      </c>
      <c r="I30" s="4">
        <f t="shared" si="1"/>
        <v>0.80716658160352872</v>
      </c>
      <c r="J30" s="3">
        <f t="shared" si="2"/>
        <v>304.79687999999993</v>
      </c>
      <c r="K30" s="4">
        <f t="shared" si="3"/>
        <v>1.101960636310042</v>
      </c>
      <c r="L30" s="3">
        <f t="shared" si="4"/>
        <v>408.55751999999995</v>
      </c>
      <c r="M30" s="4">
        <f t="shared" si="5"/>
        <v>3.0726670372944191</v>
      </c>
      <c r="N30" s="3">
        <f t="shared" si="6"/>
        <v>932.22449999999969</v>
      </c>
      <c r="O30" s="4">
        <f t="shared" si="7"/>
        <v>55.138007119605717</v>
      </c>
      <c r="P30" s="3">
        <f t="shared" si="8"/>
        <v>2918.2679999999991</v>
      </c>
      <c r="Q30" s="10">
        <f t="shared" si="9"/>
        <v>2992.728893479135</v>
      </c>
      <c r="R30" s="8"/>
      <c r="S30" s="8"/>
    </row>
    <row r="31" spans="3:19" x14ac:dyDescent="0.25">
      <c r="C31" s="2">
        <f>AtmosphereISA!C27:F27</f>
        <v>3000</v>
      </c>
      <c r="D31" s="2">
        <f>AtmosphereISA!D27:G27</f>
        <v>3</v>
      </c>
      <c r="E31" s="2">
        <f>AtmosphereISA!E27:H27</f>
        <v>70124</v>
      </c>
      <c r="F31" s="2">
        <f>AtmosphereISA!F27:I27</f>
        <v>-4.5</v>
      </c>
      <c r="G31" s="2">
        <f>AtmosphereISA!G27:J27</f>
        <v>268.64999999999998</v>
      </c>
      <c r="H31" s="3">
        <f t="shared" si="0"/>
        <v>277.24680000000001</v>
      </c>
      <c r="I31" s="4">
        <f t="shared" si="1"/>
        <v>0.78297090050443152</v>
      </c>
      <c r="J31" s="3">
        <f t="shared" si="2"/>
        <v>303.03719999999993</v>
      </c>
      <c r="K31" s="4">
        <f t="shared" si="3"/>
        <v>1.068928188302906</v>
      </c>
      <c r="L31" s="3">
        <f t="shared" si="4"/>
        <v>406.19879999999995</v>
      </c>
      <c r="M31" s="4">
        <f t="shared" si="5"/>
        <v>2.9805605583438308</v>
      </c>
      <c r="N31" s="3">
        <f t="shared" si="6"/>
        <v>926.84249999999975</v>
      </c>
      <c r="O31" s="4">
        <f t="shared" si="7"/>
        <v>53.485186416777076</v>
      </c>
      <c r="P31" s="3">
        <f t="shared" si="8"/>
        <v>2901.4199999999992</v>
      </c>
      <c r="Q31" s="10">
        <f t="shared" si="9"/>
        <v>2903.0186458387752</v>
      </c>
      <c r="R31" s="8"/>
      <c r="S31" s="8"/>
    </row>
    <row r="32" spans="3:19" x14ac:dyDescent="0.25">
      <c r="C32" s="2">
        <f>AtmosphereISA!C28:F28</f>
        <v>3250</v>
      </c>
      <c r="D32" s="2">
        <f>AtmosphereISA!D28:G28</f>
        <v>3.25</v>
      </c>
      <c r="E32" s="2">
        <f>AtmosphereISA!E28:H28</f>
        <v>67924</v>
      </c>
      <c r="F32" s="2">
        <f>AtmosphereISA!F28:I28</f>
        <v>-6.13</v>
      </c>
      <c r="G32" s="2">
        <f>AtmosphereISA!G28:J28</f>
        <v>267.02</v>
      </c>
      <c r="H32" s="3">
        <f t="shared" si="0"/>
        <v>275.56464</v>
      </c>
      <c r="I32" s="4">
        <f t="shared" si="1"/>
        <v>0.75840675725661688</v>
      </c>
      <c r="J32" s="3">
        <f t="shared" si="2"/>
        <v>301.19855999999993</v>
      </c>
      <c r="K32" s="4">
        <f t="shared" si="3"/>
        <v>1.0353927080926157</v>
      </c>
      <c r="L32" s="3">
        <f t="shared" si="4"/>
        <v>403.73424</v>
      </c>
      <c r="M32" s="4">
        <f t="shared" si="5"/>
        <v>2.8870514426579534</v>
      </c>
      <c r="N32" s="3">
        <f t="shared" si="6"/>
        <v>921.21899999999971</v>
      </c>
      <c r="O32" s="4">
        <f t="shared" si="7"/>
        <v>51.80719585552972</v>
      </c>
      <c r="P32" s="3">
        <f t="shared" si="8"/>
        <v>2883.8159999999989</v>
      </c>
      <c r="Q32" s="10">
        <f t="shared" si="9"/>
        <v>2811.9422522952618</v>
      </c>
      <c r="R32" s="8"/>
      <c r="S32" s="8"/>
    </row>
    <row r="33" spans="3:19" x14ac:dyDescent="0.25">
      <c r="C33" s="2">
        <f>AtmosphereISA!C29:F29</f>
        <v>3510</v>
      </c>
      <c r="D33" s="2">
        <f>AtmosphereISA!D29:G29</f>
        <v>3.51</v>
      </c>
      <c r="E33" s="2">
        <f>AtmosphereISA!E29:H29</f>
        <v>65695</v>
      </c>
      <c r="F33" s="2">
        <f>AtmosphereISA!F29:I29</f>
        <v>-7.82</v>
      </c>
      <c r="G33" s="2">
        <f>AtmosphereISA!G29:J29</f>
        <v>265.33</v>
      </c>
      <c r="H33" s="3">
        <f t="shared" si="0"/>
        <v>273.82056</v>
      </c>
      <c r="I33" s="4">
        <f t="shared" si="1"/>
        <v>0.73351881393871754</v>
      </c>
      <c r="J33" s="3">
        <f t="shared" si="2"/>
        <v>299.29223999999994</v>
      </c>
      <c r="K33" s="4">
        <f t="shared" si="3"/>
        <v>1.0014151692795537</v>
      </c>
      <c r="L33" s="3">
        <f t="shared" si="4"/>
        <v>401.17895999999996</v>
      </c>
      <c r="M33" s="4">
        <f t="shared" si="5"/>
        <v>2.7923097068107627</v>
      </c>
      <c r="N33" s="3">
        <f t="shared" si="6"/>
        <v>915.38849999999979</v>
      </c>
      <c r="O33" s="4">
        <f t="shared" si="7"/>
        <v>50.107086327793191</v>
      </c>
      <c r="P33" s="3">
        <f t="shared" si="8"/>
        <v>2865.5639999999989</v>
      </c>
      <c r="Q33" s="10">
        <f t="shared" si="9"/>
        <v>2719.6653062914024</v>
      </c>
      <c r="R33" s="8"/>
      <c r="S33" s="8"/>
    </row>
    <row r="34" spans="3:19" x14ac:dyDescent="0.25">
      <c r="C34" s="2">
        <f>AtmosphereISA!C30:F30</f>
        <v>3780</v>
      </c>
      <c r="D34" s="2">
        <f>AtmosphereISA!D30:G30</f>
        <v>3.78</v>
      </c>
      <c r="E34" s="2">
        <f>AtmosphereISA!E30:H30</f>
        <v>63444</v>
      </c>
      <c r="F34" s="2">
        <f>AtmosphereISA!F30:I30</f>
        <v>-9.57</v>
      </c>
      <c r="G34" s="2">
        <f>AtmosphereISA!G30:J30</f>
        <v>263.58</v>
      </c>
      <c r="H34" s="3">
        <f t="shared" si="0"/>
        <v>272.01456000000002</v>
      </c>
      <c r="I34" s="4">
        <f t="shared" si="1"/>
        <v>0.7083852291883399</v>
      </c>
      <c r="J34" s="3">
        <f t="shared" si="2"/>
        <v>297.31823999999995</v>
      </c>
      <c r="K34" s="4">
        <f t="shared" si="3"/>
        <v>0.96710227566438844</v>
      </c>
      <c r="L34" s="3">
        <f t="shared" si="4"/>
        <v>398.53296</v>
      </c>
      <c r="M34" s="4">
        <f t="shared" si="5"/>
        <v>2.6966328798067134</v>
      </c>
      <c r="N34" s="3">
        <f t="shared" si="6"/>
        <v>909.35099999999977</v>
      </c>
      <c r="O34" s="4">
        <f t="shared" si="7"/>
        <v>48.390196894444188</v>
      </c>
      <c r="P34" s="3">
        <f t="shared" si="8"/>
        <v>2846.6639999999993</v>
      </c>
      <c r="Q34" s="10">
        <f t="shared" si="9"/>
        <v>2626.4775963521083</v>
      </c>
      <c r="R34" s="8"/>
      <c r="S34" s="8"/>
    </row>
    <row r="35" spans="3:19" x14ac:dyDescent="0.25">
      <c r="C35" s="2">
        <f>AtmosphereISA!C31:F31</f>
        <v>4060</v>
      </c>
      <c r="D35" s="2">
        <f>AtmosphereISA!D31:G31</f>
        <v>4.0599999999999996</v>
      </c>
      <c r="E35" s="2">
        <f>AtmosphereISA!E31:H31</f>
        <v>61175</v>
      </c>
      <c r="F35" s="2">
        <f>AtmosphereISA!F31:I31</f>
        <v>-11.39</v>
      </c>
      <c r="G35" s="2">
        <f>AtmosphereISA!G31:J31</f>
        <v>261.76</v>
      </c>
      <c r="H35" s="3">
        <f t="shared" si="0"/>
        <v>270.13632000000001</v>
      </c>
      <c r="I35" s="4">
        <f t="shared" si="1"/>
        <v>0.6830506650841166</v>
      </c>
      <c r="J35" s="3">
        <f t="shared" si="2"/>
        <v>295.26527999999996</v>
      </c>
      <c r="K35" s="4">
        <f t="shared" si="3"/>
        <v>0.93251500084750272</v>
      </c>
      <c r="L35" s="3">
        <f t="shared" si="4"/>
        <v>395.78111999999999</v>
      </c>
      <c r="M35" s="4">
        <f t="shared" si="5"/>
        <v>2.6001909782197794</v>
      </c>
      <c r="N35" s="3">
        <f t="shared" si="6"/>
        <v>903.07199999999978</v>
      </c>
      <c r="O35" s="4">
        <f t="shared" si="7"/>
        <v>46.659578447412265</v>
      </c>
      <c r="P35" s="3">
        <f t="shared" si="8"/>
        <v>2827.0079999999994</v>
      </c>
      <c r="Q35" s="10">
        <f t="shared" si="9"/>
        <v>2532.5447159201849</v>
      </c>
      <c r="R35" s="8"/>
      <c r="S35" s="8"/>
    </row>
    <row r="36" spans="3:19" x14ac:dyDescent="0.25">
      <c r="C36" s="2">
        <f>AtmosphereISA!C32:F32</f>
        <v>4350</v>
      </c>
      <c r="D36" s="2">
        <f>AtmosphereISA!D32:G32</f>
        <v>4.3499999999999996</v>
      </c>
      <c r="E36" s="2">
        <f>AtmosphereISA!E32:H32</f>
        <v>58895</v>
      </c>
      <c r="F36" s="2">
        <f>AtmosphereISA!F32:I32</f>
        <v>-13.28</v>
      </c>
      <c r="G36" s="2">
        <f>AtmosphereISA!G32:J32</f>
        <v>259.87</v>
      </c>
      <c r="H36" s="3">
        <f t="shared" si="0"/>
        <v>268.18583999999998</v>
      </c>
      <c r="I36" s="4">
        <f t="shared" si="1"/>
        <v>0.65759328026365427</v>
      </c>
      <c r="J36" s="3">
        <f t="shared" si="2"/>
        <v>293.13335999999998</v>
      </c>
      <c r="K36" s="4">
        <f t="shared" si="3"/>
        <v>0.8977600486295656</v>
      </c>
      <c r="L36" s="3">
        <f t="shared" si="4"/>
        <v>392.92344000000003</v>
      </c>
      <c r="M36" s="4">
        <f t="shared" si="5"/>
        <v>2.5032815310544163</v>
      </c>
      <c r="N36" s="3">
        <f t="shared" si="6"/>
        <v>896.55149999999981</v>
      </c>
      <c r="O36" s="4">
        <f t="shared" si="7"/>
        <v>44.920570047574088</v>
      </c>
      <c r="P36" s="3">
        <f t="shared" si="8"/>
        <v>2806.5959999999991</v>
      </c>
      <c r="Q36" s="10">
        <f t="shared" si="9"/>
        <v>2438.1564535205443</v>
      </c>
      <c r="R36" s="8"/>
      <c r="S36" s="8"/>
    </row>
    <row r="37" spans="3:19" x14ac:dyDescent="0.25">
      <c r="C37" s="2">
        <f>AtmosphereISA!C33:F33</f>
        <v>4650</v>
      </c>
      <c r="D37" s="2">
        <f>AtmosphereISA!D33:G33</f>
        <v>4.6500000000000004</v>
      </c>
      <c r="E37" s="2">
        <f>AtmosphereISA!E33:H33</f>
        <v>56610</v>
      </c>
      <c r="F37" s="2">
        <f>AtmosphereISA!F33:I33</f>
        <v>-15.23</v>
      </c>
      <c r="G37" s="2">
        <f>AtmosphereISA!G33:J33</f>
        <v>257.91999999999996</v>
      </c>
      <c r="H37" s="3">
        <f t="shared" si="0"/>
        <v>266.17343999999997</v>
      </c>
      <c r="I37" s="4">
        <f t="shared" si="1"/>
        <v>0.63208006784490134</v>
      </c>
      <c r="J37" s="3">
        <f t="shared" si="2"/>
        <v>290.93375999999995</v>
      </c>
      <c r="K37" s="4">
        <f t="shared" si="3"/>
        <v>0.86292887941115037</v>
      </c>
      <c r="L37" s="3">
        <f t="shared" si="4"/>
        <v>389.97503999999992</v>
      </c>
      <c r="M37" s="4">
        <f t="shared" si="5"/>
        <v>2.4061595631715851</v>
      </c>
      <c r="N37" s="3">
        <f t="shared" si="6"/>
        <v>889.82399999999973</v>
      </c>
      <c r="O37" s="4">
        <f t="shared" si="7"/>
        <v>43.177748032823999</v>
      </c>
      <c r="P37" s="3">
        <f t="shared" si="8"/>
        <v>2785.5359999999987</v>
      </c>
      <c r="Q37" s="10">
        <f t="shared" si="9"/>
        <v>2343.5611993173952</v>
      </c>
      <c r="R37" s="8"/>
      <c r="S37" s="8"/>
    </row>
    <row r="38" spans="3:19" x14ac:dyDescent="0.25">
      <c r="C38" s="2">
        <f>AtmosphereISA!C34:F34</f>
        <v>4960</v>
      </c>
      <c r="D38" s="2">
        <f>AtmosphereISA!D34:G34</f>
        <v>4.96</v>
      </c>
      <c r="E38" s="2">
        <f>AtmosphereISA!E34:H34</f>
        <v>54324</v>
      </c>
      <c r="F38" s="2">
        <f>AtmosphereISA!F34:I34</f>
        <v>-17.239999999999998</v>
      </c>
      <c r="G38" s="2">
        <f>AtmosphereISA!G34:J34</f>
        <v>255.90999999999997</v>
      </c>
      <c r="H38" s="3">
        <f t="shared" si="0"/>
        <v>264.09911999999997</v>
      </c>
      <c r="I38" s="4">
        <f t="shared" si="1"/>
        <v>0.60655568990649045</v>
      </c>
      <c r="J38" s="3">
        <f t="shared" si="2"/>
        <v>288.66647999999992</v>
      </c>
      <c r="K38" s="4">
        <f t="shared" si="3"/>
        <v>0.82808246679263975</v>
      </c>
      <c r="L38" s="3">
        <f t="shared" si="4"/>
        <v>386.93591999999995</v>
      </c>
      <c r="M38" s="4">
        <f t="shared" si="5"/>
        <v>2.3089950911452606</v>
      </c>
      <c r="N38" s="3">
        <f t="shared" si="6"/>
        <v>882.88949999999966</v>
      </c>
      <c r="O38" s="4">
        <f t="shared" si="7"/>
        <v>41.434163295091516</v>
      </c>
      <c r="P38" s="3">
        <f t="shared" si="8"/>
        <v>2763.8279999999991</v>
      </c>
      <c r="Q38" s="10">
        <f t="shared" si="9"/>
        <v>2248.9245467535452</v>
      </c>
      <c r="R38" s="8"/>
      <c r="S38" s="8"/>
    </row>
    <row r="39" spans="3:19" x14ac:dyDescent="0.25">
      <c r="C39" s="2">
        <f>AtmosphereISA!C35:F35</f>
        <v>5280</v>
      </c>
      <c r="D39" s="2">
        <f>AtmosphereISA!D35:G35</f>
        <v>5.28</v>
      </c>
      <c r="E39" s="2">
        <f>AtmosphereISA!E35:H35</f>
        <v>52043</v>
      </c>
      <c r="F39" s="2">
        <f>AtmosphereISA!F35:I35</f>
        <v>-19.32</v>
      </c>
      <c r="G39" s="2">
        <f>AtmosphereISA!G35:J35</f>
        <v>253.82999999999998</v>
      </c>
      <c r="H39" s="3">
        <f t="shared" si="0"/>
        <v>261.95256000000001</v>
      </c>
      <c r="I39" s="4">
        <f t="shared" si="1"/>
        <v>0.58108713956636993</v>
      </c>
      <c r="J39" s="3">
        <f t="shared" si="2"/>
        <v>286.32023999999996</v>
      </c>
      <c r="K39" s="4">
        <f t="shared" si="3"/>
        <v>0.79331227117460701</v>
      </c>
      <c r="L39" s="3">
        <f t="shared" si="4"/>
        <v>383.79095999999998</v>
      </c>
      <c r="M39" s="4">
        <f t="shared" si="5"/>
        <v>2.2120431398364038</v>
      </c>
      <c r="N39" s="3">
        <f t="shared" si="6"/>
        <v>875.71349999999973</v>
      </c>
      <c r="O39" s="4">
        <f t="shared" si="7"/>
        <v>39.694392172270959</v>
      </c>
      <c r="P39" s="3">
        <f t="shared" si="8"/>
        <v>2741.3639999999991</v>
      </c>
      <c r="Q39" s="10">
        <f t="shared" si="9"/>
        <v>2154.4948859932028</v>
      </c>
      <c r="R39" s="8"/>
      <c r="S39" s="8"/>
    </row>
    <row r="40" spans="3:19" x14ac:dyDescent="0.25">
      <c r="C40" s="2">
        <f>AtmosphereISA!C36:F36</f>
        <v>5610</v>
      </c>
      <c r="D40" s="2">
        <f>AtmosphereISA!D36:G36</f>
        <v>5.61</v>
      </c>
      <c r="E40" s="2">
        <f>AtmosphereISA!E36:H36</f>
        <v>49773</v>
      </c>
      <c r="F40" s="2">
        <f>AtmosphereISA!F36:I36</f>
        <v>-21.47</v>
      </c>
      <c r="G40" s="2">
        <f>AtmosphereISA!G36:J36</f>
        <v>251.67999999999998</v>
      </c>
      <c r="H40" s="3">
        <f t="shared" si="0"/>
        <v>259.73375999999996</v>
      </c>
      <c r="I40" s="4">
        <f t="shared" si="1"/>
        <v>0.55574140994248855</v>
      </c>
      <c r="J40" s="3">
        <f t="shared" si="2"/>
        <v>283.89503999999994</v>
      </c>
      <c r="K40" s="4">
        <f t="shared" si="3"/>
        <v>0.75870975295762577</v>
      </c>
      <c r="L40" s="3">
        <f t="shared" si="4"/>
        <v>380.54015999999996</v>
      </c>
      <c r="M40" s="4">
        <f t="shared" si="5"/>
        <v>2.1155587341059761</v>
      </c>
      <c r="N40" s="3">
        <f t="shared" si="6"/>
        <v>868.29599999999971</v>
      </c>
      <c r="O40" s="4">
        <f t="shared" si="7"/>
        <v>37.96301100225665</v>
      </c>
      <c r="P40" s="3">
        <f t="shared" si="8"/>
        <v>2718.1439999999989</v>
      </c>
      <c r="Q40" s="10">
        <f t="shared" si="9"/>
        <v>2060.5206072005781</v>
      </c>
      <c r="R40" s="8"/>
      <c r="S40" s="8"/>
    </row>
    <row r="41" spans="3:19" x14ac:dyDescent="0.25">
      <c r="C41" s="2">
        <f>AtmosphereISA!C37:F37</f>
        <v>5950</v>
      </c>
      <c r="D41" s="2">
        <f>AtmosphereISA!D37:G37</f>
        <v>5.95</v>
      </c>
      <c r="E41" s="2">
        <f>AtmosphereISA!E37:H37</f>
        <v>47519</v>
      </c>
      <c r="F41" s="2">
        <f>AtmosphereISA!F37:I37</f>
        <v>-23.68</v>
      </c>
      <c r="G41" s="2">
        <f>AtmosphereISA!G37:J37</f>
        <v>249.46999999999997</v>
      </c>
      <c r="H41" s="3">
        <f t="shared" si="0"/>
        <v>257.45303999999999</v>
      </c>
      <c r="I41" s="4">
        <f t="shared" si="1"/>
        <v>0.53057432863313669</v>
      </c>
      <c r="J41" s="3">
        <f t="shared" si="2"/>
        <v>281.40215999999992</v>
      </c>
      <c r="K41" s="4">
        <f t="shared" si="3"/>
        <v>0.7243511291421737</v>
      </c>
      <c r="L41" s="3">
        <f t="shared" si="4"/>
        <v>377.19863999999995</v>
      </c>
      <c r="M41" s="4">
        <f t="shared" si="5"/>
        <v>2.019754394671446</v>
      </c>
      <c r="N41" s="3">
        <f t="shared" si="6"/>
        <v>860.6714999999997</v>
      </c>
      <c r="O41" s="4">
        <f t="shared" si="7"/>
        <v>36.243833399960494</v>
      </c>
      <c r="P41" s="3">
        <f t="shared" si="8"/>
        <v>2694.2759999999989</v>
      </c>
      <c r="Q41" s="10">
        <f t="shared" si="9"/>
        <v>1967.208702179179</v>
      </c>
      <c r="R41" s="8"/>
      <c r="S41" s="8"/>
    </row>
    <row r="42" spans="3:19" x14ac:dyDescent="0.25">
      <c r="C42" s="2">
        <f>AtmosphereISA!C38:F38</f>
        <v>6300</v>
      </c>
      <c r="D42" s="2">
        <f>AtmosphereISA!D38:G38</f>
        <v>6.3</v>
      </c>
      <c r="E42" s="2">
        <f>AtmosphereISA!E38:H38</f>
        <v>45286</v>
      </c>
      <c r="F42" s="2">
        <f>AtmosphereISA!F38:I38</f>
        <v>-25.95</v>
      </c>
      <c r="G42" s="2">
        <f>AtmosphereISA!G38:J38</f>
        <v>247.2</v>
      </c>
      <c r="H42" s="3">
        <f t="shared" si="0"/>
        <v>255.1104</v>
      </c>
      <c r="I42" s="4">
        <f t="shared" si="1"/>
        <v>0.50564172323660483</v>
      </c>
      <c r="J42" s="3">
        <f t="shared" si="2"/>
        <v>278.84159999999997</v>
      </c>
      <c r="K42" s="4">
        <f t="shared" si="3"/>
        <v>0.69031261672872923</v>
      </c>
      <c r="L42" s="3">
        <f t="shared" si="4"/>
        <v>373.76639999999998</v>
      </c>
      <c r="M42" s="4">
        <f t="shared" si="5"/>
        <v>1.9248426422502811</v>
      </c>
      <c r="N42" s="3">
        <f t="shared" si="6"/>
        <v>852.8399999999998</v>
      </c>
      <c r="O42" s="4">
        <f t="shared" si="7"/>
        <v>34.540672980294431</v>
      </c>
      <c r="P42" s="3">
        <f t="shared" si="8"/>
        <v>2669.7599999999993</v>
      </c>
      <c r="Q42" s="10">
        <f t="shared" si="9"/>
        <v>1874.7661627325133</v>
      </c>
      <c r="R42" s="8"/>
      <c r="S42" s="8"/>
    </row>
    <row r="43" spans="3:19" x14ac:dyDescent="0.25">
      <c r="C43" s="2">
        <f>AtmosphereISA!C39:F39</f>
        <v>6660</v>
      </c>
      <c r="D43" s="2">
        <f>AtmosphereISA!D39:G39</f>
        <v>6.66</v>
      </c>
      <c r="E43" s="2">
        <f>AtmosphereISA!E39:H39</f>
        <v>43078</v>
      </c>
      <c r="F43" s="2">
        <f>AtmosphereISA!F39:I39</f>
        <v>-28.29</v>
      </c>
      <c r="G43" s="2">
        <f>AtmosphereISA!G39:J39</f>
        <v>244.85999999999999</v>
      </c>
      <c r="H43" s="3">
        <f t="shared" si="0"/>
        <v>252.69551999999999</v>
      </c>
      <c r="I43" s="4">
        <f t="shared" si="1"/>
        <v>0.48098825583152555</v>
      </c>
      <c r="J43" s="3">
        <f t="shared" si="2"/>
        <v>276.20207999999997</v>
      </c>
      <c r="K43" s="4">
        <f t="shared" si="3"/>
        <v>0.65665518931767419</v>
      </c>
      <c r="L43" s="3">
        <f t="shared" si="4"/>
        <v>370.22832</v>
      </c>
      <c r="M43" s="4">
        <f t="shared" si="5"/>
        <v>1.8309934934164556</v>
      </c>
      <c r="N43" s="3">
        <f t="shared" si="6"/>
        <v>844.76699999999983</v>
      </c>
      <c r="O43" s="4">
        <f t="shared" si="7"/>
        <v>32.856580635187989</v>
      </c>
      <c r="P43" s="3">
        <f t="shared" si="8"/>
        <v>2644.4879999999989</v>
      </c>
      <c r="Q43" s="10">
        <f t="shared" si="9"/>
        <v>1783.3585823033875</v>
      </c>
      <c r="R43" s="8"/>
      <c r="S43" s="8"/>
    </row>
    <row r="44" spans="3:19" x14ac:dyDescent="0.25">
      <c r="C44" s="2">
        <f>AtmosphereISA!C40:F40</f>
        <v>7030</v>
      </c>
      <c r="D44" s="2">
        <f>AtmosphereISA!D40:G40</f>
        <v>7.03</v>
      </c>
      <c r="E44" s="2">
        <f>AtmosphereISA!E40:H40</f>
        <v>40901</v>
      </c>
      <c r="F44" s="2">
        <f>AtmosphereISA!F40:I40</f>
        <v>-30.7</v>
      </c>
      <c r="G44" s="2">
        <f>AtmosphereISA!G40:J40</f>
        <v>242.45</v>
      </c>
      <c r="H44" s="3">
        <f t="shared" si="0"/>
        <v>250.20839999999998</v>
      </c>
      <c r="I44" s="4">
        <f t="shared" si="1"/>
        <v>0.45668091953584722</v>
      </c>
      <c r="J44" s="3">
        <f t="shared" si="2"/>
        <v>273.48359999999997</v>
      </c>
      <c r="K44" s="4">
        <f t="shared" si="3"/>
        <v>0.62347030730958253</v>
      </c>
      <c r="L44" s="3">
        <f t="shared" si="4"/>
        <v>366.58439999999996</v>
      </c>
      <c r="M44" s="4">
        <f t="shared" si="5"/>
        <v>1.738461973030931</v>
      </c>
      <c r="N44" s="3">
        <f t="shared" si="6"/>
        <v>836.45249999999976</v>
      </c>
      <c r="O44" s="4">
        <f t="shared" si="7"/>
        <v>31.196132702535493</v>
      </c>
      <c r="P44" s="3">
        <f t="shared" si="8"/>
        <v>2618.4599999999991</v>
      </c>
      <c r="Q44" s="10">
        <f t="shared" si="9"/>
        <v>1693.2343510560113</v>
      </c>
      <c r="R44" s="8"/>
      <c r="S44" s="8"/>
    </row>
    <row r="45" spans="3:19" x14ac:dyDescent="0.25">
      <c r="C45" s="2">
        <f>AtmosphereISA!C41:F41</f>
        <v>7410</v>
      </c>
      <c r="D45" s="2">
        <f>AtmosphereISA!D41:G41</f>
        <v>7.41</v>
      </c>
      <c r="E45" s="2">
        <f>AtmosphereISA!E41:H41</f>
        <v>38758</v>
      </c>
      <c r="F45" s="2">
        <f>AtmosphereISA!F41:I41</f>
        <v>-33.17</v>
      </c>
      <c r="G45" s="2">
        <f>AtmosphereISA!G41:J41</f>
        <v>239.97999999999996</v>
      </c>
      <c r="H45" s="3">
        <f t="shared" si="0"/>
        <v>247.65935999999996</v>
      </c>
      <c r="I45" s="4">
        <f t="shared" si="1"/>
        <v>0.43275321090854418</v>
      </c>
      <c r="J45" s="3">
        <f t="shared" si="2"/>
        <v>270.69743999999992</v>
      </c>
      <c r="K45" s="4">
        <f t="shared" si="3"/>
        <v>0.59080370090474066</v>
      </c>
      <c r="L45" s="3">
        <f t="shared" si="4"/>
        <v>362.84975999999995</v>
      </c>
      <c r="M45" s="4">
        <f t="shared" si="5"/>
        <v>1.6473755935241881</v>
      </c>
      <c r="N45" s="3">
        <f t="shared" si="6"/>
        <v>827.9309999999997</v>
      </c>
      <c r="O45" s="4">
        <f t="shared" si="7"/>
        <v>29.561617351284092</v>
      </c>
      <c r="P45" s="3">
        <f t="shared" si="8"/>
        <v>2591.7839999999987</v>
      </c>
      <c r="Q45" s="10">
        <f t="shared" si="9"/>
        <v>1604.5176640724892</v>
      </c>
      <c r="R45" s="8"/>
      <c r="S45" s="8"/>
    </row>
    <row r="46" spans="3:19" x14ac:dyDescent="0.25">
      <c r="C46" s="2">
        <f>AtmosphereISA!C42:F42</f>
        <v>7800</v>
      </c>
      <c r="D46" s="2">
        <f>AtmosphereISA!D42:G42</f>
        <v>7.8</v>
      </c>
      <c r="E46" s="2">
        <f>AtmosphereISA!E42:H42</f>
        <v>36654</v>
      </c>
      <c r="F46" s="2">
        <f>AtmosphereISA!F42:I42</f>
        <v>-35.700000000000003</v>
      </c>
      <c r="G46" s="2">
        <f>AtmosphereISA!G42:J42</f>
        <v>237.45</v>
      </c>
      <c r="H46" s="3">
        <f t="shared" si="0"/>
        <v>245.04839999999999</v>
      </c>
      <c r="I46" s="4">
        <f t="shared" si="1"/>
        <v>0.40926095754790703</v>
      </c>
      <c r="J46" s="3">
        <f t="shared" si="2"/>
        <v>267.84359999999998</v>
      </c>
      <c r="K46" s="4">
        <f t="shared" si="3"/>
        <v>0.55873158710362669</v>
      </c>
      <c r="L46" s="3">
        <f t="shared" si="4"/>
        <v>359.02439999999996</v>
      </c>
      <c r="M46" s="4">
        <f t="shared" si="5"/>
        <v>1.5579468756136949</v>
      </c>
      <c r="N46" s="3">
        <f t="shared" si="6"/>
        <v>819.20249999999976</v>
      </c>
      <c r="O46" s="4">
        <f t="shared" si="7"/>
        <v>27.956848196345714</v>
      </c>
      <c r="P46" s="3">
        <f t="shared" si="8"/>
        <v>2564.4599999999991</v>
      </c>
      <c r="Q46" s="10">
        <f t="shared" si="9"/>
        <v>1517.4155131563293</v>
      </c>
      <c r="R46" s="8"/>
      <c r="S46" s="8"/>
    </row>
    <row r="47" spans="3:19" x14ac:dyDescent="0.25">
      <c r="C47" s="2">
        <f>AtmosphereISA!C43:F43</f>
        <v>8200</v>
      </c>
      <c r="D47" s="2">
        <f>AtmosphereISA!D43:G43</f>
        <v>8.1999999999999993</v>
      </c>
      <c r="E47" s="2">
        <f>AtmosphereISA!E43:H43</f>
        <v>34594</v>
      </c>
      <c r="F47" s="2">
        <f>AtmosphereISA!F43:I43</f>
        <v>-38.299999999999997</v>
      </c>
      <c r="G47" s="2">
        <f>AtmosphereISA!G43:J43</f>
        <v>234.84999999999997</v>
      </c>
      <c r="H47" s="3">
        <f t="shared" si="0"/>
        <v>242.36519999999996</v>
      </c>
      <c r="I47" s="4">
        <f t="shared" si="1"/>
        <v>0.38625998705222608</v>
      </c>
      <c r="J47" s="3">
        <f t="shared" si="2"/>
        <v>264.91079999999994</v>
      </c>
      <c r="K47" s="4">
        <f t="shared" si="3"/>
        <v>0.52733018290671851</v>
      </c>
      <c r="L47" s="3">
        <f t="shared" si="4"/>
        <v>355.09319999999997</v>
      </c>
      <c r="M47" s="4">
        <f t="shared" si="5"/>
        <v>1.4703883400169195</v>
      </c>
      <c r="N47" s="3">
        <f t="shared" si="6"/>
        <v>810.23249999999973</v>
      </c>
      <c r="O47" s="4">
        <f t="shared" si="7"/>
        <v>26.38563885263228</v>
      </c>
      <c r="P47" s="3">
        <f t="shared" si="8"/>
        <v>2536.3799999999987</v>
      </c>
      <c r="Q47" s="10">
        <f t="shared" si="9"/>
        <v>1432.1348901110402</v>
      </c>
      <c r="R47" s="8"/>
      <c r="S47" s="8"/>
    </row>
    <row r="48" spans="3:19" x14ac:dyDescent="0.25">
      <c r="C48" s="2">
        <f>AtmosphereISA!C44:F44</f>
        <v>8610</v>
      </c>
      <c r="D48" s="2">
        <f>AtmosphereISA!D44:G44</f>
        <v>8.61</v>
      </c>
      <c r="E48" s="2">
        <f>AtmosphereISA!E44:H44</f>
        <v>32580</v>
      </c>
      <c r="F48" s="2">
        <f>AtmosphereISA!F44:I44</f>
        <v>-40.97</v>
      </c>
      <c r="G48" s="2">
        <f>AtmosphereISA!G44:J44</f>
        <v>232.17999999999998</v>
      </c>
      <c r="H48" s="3">
        <f t="shared" si="0"/>
        <v>239.60975999999999</v>
      </c>
      <c r="I48" s="4">
        <f t="shared" si="1"/>
        <v>0.36377263046081765</v>
      </c>
      <c r="J48" s="3">
        <f t="shared" si="2"/>
        <v>261.89903999999996</v>
      </c>
      <c r="K48" s="4">
        <f t="shared" si="3"/>
        <v>0.49662997511420742</v>
      </c>
      <c r="L48" s="3">
        <f t="shared" si="4"/>
        <v>351.05615999999998</v>
      </c>
      <c r="M48" s="4">
        <f t="shared" si="5"/>
        <v>1.3847849950208486</v>
      </c>
      <c r="N48" s="3">
        <f t="shared" si="6"/>
        <v>801.02099999999973</v>
      </c>
      <c r="O48" s="4">
        <f t="shared" si="7"/>
        <v>24.849514766108566</v>
      </c>
      <c r="P48" s="3">
        <f t="shared" si="8"/>
        <v>2507.543999999999</v>
      </c>
      <c r="Q48" s="10">
        <f t="shared" si="9"/>
        <v>1348.7585916580242</v>
      </c>
      <c r="R48" s="8"/>
      <c r="S48" s="8"/>
    </row>
    <row r="49" spans="3:19" x14ac:dyDescent="0.25">
      <c r="C49" s="2">
        <f>AtmosphereISA!C45:F45</f>
        <v>9030</v>
      </c>
      <c r="D49" s="2">
        <f>AtmosphereISA!D45:G45</f>
        <v>9.0299999999999994</v>
      </c>
      <c r="E49" s="2">
        <f>AtmosphereISA!E45:H45</f>
        <v>30617</v>
      </c>
      <c r="F49" s="2">
        <f>AtmosphereISA!F45:I45</f>
        <v>-43.7</v>
      </c>
      <c r="G49" s="2">
        <f>AtmosphereISA!G45:J45</f>
        <v>229.45</v>
      </c>
      <c r="H49" s="3">
        <f t="shared" si="0"/>
        <v>236.79239999999999</v>
      </c>
      <c r="I49" s="4">
        <f t="shared" si="1"/>
        <v>0.34185471537197221</v>
      </c>
      <c r="J49" s="3">
        <f t="shared" si="2"/>
        <v>258.81959999999998</v>
      </c>
      <c r="K49" s="4">
        <f t="shared" si="3"/>
        <v>0.46670718072657119</v>
      </c>
      <c r="L49" s="3">
        <f t="shared" si="4"/>
        <v>346.92840000000001</v>
      </c>
      <c r="M49" s="4">
        <f t="shared" si="5"/>
        <v>1.3013493613429505</v>
      </c>
      <c r="N49" s="3">
        <f t="shared" si="6"/>
        <v>791.60249999999985</v>
      </c>
      <c r="O49" s="4">
        <f t="shared" si="7"/>
        <v>23.352289551686489</v>
      </c>
      <c r="P49" s="3">
        <f t="shared" si="8"/>
        <v>2478.059999999999</v>
      </c>
      <c r="Q49" s="10">
        <f t="shared" si="9"/>
        <v>1267.4936096007896</v>
      </c>
      <c r="R49" s="8"/>
      <c r="S49" s="8"/>
    </row>
    <row r="50" spans="3:19" x14ac:dyDescent="0.25">
      <c r="C50" s="2">
        <f>AtmosphereISA!C46:F46</f>
        <v>9460</v>
      </c>
      <c r="D50" s="2">
        <f>AtmosphereISA!D46:G46</f>
        <v>9.4600000000000009</v>
      </c>
      <c r="E50" s="2">
        <f>AtmosphereISA!E46:H46</f>
        <v>28707</v>
      </c>
      <c r="F50" s="2">
        <f>AtmosphereISA!F46:I46</f>
        <v>-46.49</v>
      </c>
      <c r="G50" s="2">
        <f>AtmosphereISA!G46:J46</f>
        <v>226.65999999999997</v>
      </c>
      <c r="H50" s="3">
        <f t="shared" si="0"/>
        <v>233.91311999999996</v>
      </c>
      <c r="I50" s="4">
        <f t="shared" si="1"/>
        <v>0.32052857282500591</v>
      </c>
      <c r="J50" s="3">
        <f t="shared" si="2"/>
        <v>255.67247999999995</v>
      </c>
      <c r="K50" s="4">
        <f t="shared" si="3"/>
        <v>0.43759228654400095</v>
      </c>
      <c r="L50" s="3">
        <f t="shared" si="4"/>
        <v>342.70991999999995</v>
      </c>
      <c r="M50" s="4">
        <f t="shared" si="5"/>
        <v>1.2201664472702118</v>
      </c>
      <c r="N50" s="3">
        <f t="shared" si="6"/>
        <v>781.97699999999975</v>
      </c>
      <c r="O50" s="4">
        <f t="shared" si="7"/>
        <v>21.895488655330833</v>
      </c>
      <c r="P50" s="3">
        <f t="shared" si="8"/>
        <v>2447.927999999999</v>
      </c>
      <c r="Q50" s="10">
        <f t="shared" si="9"/>
        <v>1188.4227406607397</v>
      </c>
      <c r="R50" s="8"/>
      <c r="S50" s="8"/>
    </row>
    <row r="51" spans="3:19" x14ac:dyDescent="0.25">
      <c r="C51" s="2">
        <f>AtmosphereISA!C47:F47</f>
        <v>9900</v>
      </c>
      <c r="D51" s="2">
        <f>AtmosphereISA!D47:G47</f>
        <v>9.9</v>
      </c>
      <c r="E51" s="2">
        <f>AtmosphereISA!E47:H47</f>
        <v>26854</v>
      </c>
      <c r="F51" s="2">
        <f>AtmosphereISA!F47:I47</f>
        <v>-49.35</v>
      </c>
      <c r="G51" s="2">
        <f>AtmosphereISA!G47:J47</f>
        <v>223.79999999999998</v>
      </c>
      <c r="H51" s="3">
        <f t="shared" si="0"/>
        <v>230.96159999999998</v>
      </c>
      <c r="I51" s="4">
        <f t="shared" si="1"/>
        <v>0.29983886489855116</v>
      </c>
      <c r="J51" s="3">
        <f t="shared" si="2"/>
        <v>252.44639999999995</v>
      </c>
      <c r="K51" s="4">
        <f t="shared" si="3"/>
        <v>0.40934626616687919</v>
      </c>
      <c r="L51" s="3">
        <f t="shared" si="4"/>
        <v>338.38559999999995</v>
      </c>
      <c r="M51" s="4">
        <f t="shared" si="5"/>
        <v>1.1414062693766076</v>
      </c>
      <c r="N51" s="3">
        <f t="shared" si="6"/>
        <v>772.10999999999979</v>
      </c>
      <c r="O51" s="4">
        <f t="shared" si="7"/>
        <v>20.482162968971128</v>
      </c>
      <c r="P51" s="3">
        <f t="shared" si="8"/>
        <v>2417.0399999999991</v>
      </c>
      <c r="Q51" s="10">
        <f t="shared" si="9"/>
        <v>1111.7115782806807</v>
      </c>
      <c r="R51" s="8"/>
      <c r="S51" s="8"/>
    </row>
    <row r="52" spans="3:19" x14ac:dyDescent="0.25">
      <c r="C52" s="2">
        <f>AtmosphereISA!C48:F48</f>
        <v>10350</v>
      </c>
      <c r="D52" s="2">
        <f>AtmosphereISA!D48:G48</f>
        <v>10.35</v>
      </c>
      <c r="E52" s="2">
        <f>AtmosphereISA!E48:H48</f>
        <v>25060</v>
      </c>
      <c r="F52" s="2">
        <f>AtmosphereISA!F48:I48</f>
        <v>-52.28</v>
      </c>
      <c r="G52" s="2">
        <f>AtmosphereISA!G48:J48</f>
        <v>220.86999999999998</v>
      </c>
      <c r="H52" s="3">
        <f t="shared" si="0"/>
        <v>227.93783999999999</v>
      </c>
      <c r="I52" s="4">
        <f t="shared" si="1"/>
        <v>0.27980792263192417</v>
      </c>
      <c r="J52" s="3">
        <f t="shared" si="2"/>
        <v>249.14135999999996</v>
      </c>
      <c r="K52" s="4">
        <f t="shared" si="3"/>
        <v>0.38199960639539715</v>
      </c>
      <c r="L52" s="3">
        <f t="shared" si="4"/>
        <v>333.95543999999995</v>
      </c>
      <c r="M52" s="4">
        <f t="shared" si="5"/>
        <v>1.0651538359491244</v>
      </c>
      <c r="N52" s="3">
        <f t="shared" si="6"/>
        <v>762.00149999999974</v>
      </c>
      <c r="O52" s="4">
        <f t="shared" si="7"/>
        <v>19.11383793857215</v>
      </c>
      <c r="P52" s="3">
        <f t="shared" si="8"/>
        <v>2385.3959999999993</v>
      </c>
      <c r="Q52" s="10">
        <f t="shared" si="9"/>
        <v>1037.4429191820161</v>
      </c>
      <c r="R52" s="8"/>
      <c r="S52" s="8"/>
    </row>
    <row r="53" spans="3:19" x14ac:dyDescent="0.25">
      <c r="C53" s="2">
        <f>AtmosphereISA!C49:F49</f>
        <v>10810</v>
      </c>
      <c r="D53" s="2">
        <f>AtmosphereISA!D49:G49</f>
        <v>10.81</v>
      </c>
      <c r="E53" s="2">
        <f>AtmosphereISA!E49:H49</f>
        <v>23328</v>
      </c>
      <c r="F53" s="2">
        <f>AtmosphereISA!F49:I49</f>
        <v>-55.27</v>
      </c>
      <c r="G53" s="2">
        <f>AtmosphereISA!G49:J49</f>
        <v>217.87999999999997</v>
      </c>
      <c r="H53" s="3">
        <f t="shared" si="0"/>
        <v>224.85215999999997</v>
      </c>
      <c r="I53" s="4">
        <f t="shared" si="1"/>
        <v>0.26046924258409926</v>
      </c>
      <c r="J53" s="3">
        <f t="shared" si="2"/>
        <v>245.76863999999995</v>
      </c>
      <c r="K53" s="4">
        <f t="shared" si="3"/>
        <v>0.35559803742984136</v>
      </c>
      <c r="L53" s="3">
        <f t="shared" si="4"/>
        <v>329.43455999999998</v>
      </c>
      <c r="M53" s="4">
        <f t="shared" si="5"/>
        <v>0.99153665941824309</v>
      </c>
      <c r="N53" s="3">
        <f t="shared" si="6"/>
        <v>751.68599999999969</v>
      </c>
      <c r="O53" s="4">
        <f t="shared" si="7"/>
        <v>17.792801733081049</v>
      </c>
      <c r="P53" s="3">
        <f t="shared" si="8"/>
        <v>2353.1039999999989</v>
      </c>
      <c r="Q53" s="10">
        <f t="shared" si="9"/>
        <v>965.74095844685053</v>
      </c>
      <c r="R53" s="8"/>
      <c r="S53" s="8"/>
    </row>
    <row r="54" spans="3:19" x14ac:dyDescent="0.25">
      <c r="C54" s="2">
        <f>AtmosphereISA!C50:F50</f>
        <v>11280</v>
      </c>
      <c r="D54" s="2">
        <f>AtmosphereISA!D50:G50</f>
        <v>11.28</v>
      </c>
      <c r="E54" s="2">
        <f>AtmosphereISA!E50:H50</f>
        <v>21722</v>
      </c>
      <c r="F54" s="2">
        <f>AtmosphereISA!F50:I50</f>
        <v>-56.5</v>
      </c>
      <c r="G54" s="2">
        <f>AtmosphereISA!G50:J50</f>
        <v>216.64999999999998</v>
      </c>
      <c r="H54" s="3">
        <f t="shared" si="0"/>
        <v>223.58279999999999</v>
      </c>
      <c r="I54" s="4">
        <f t="shared" si="1"/>
        <v>0.24253741801319462</v>
      </c>
      <c r="J54" s="3">
        <f t="shared" si="2"/>
        <v>244.38119999999995</v>
      </c>
      <c r="K54" s="4">
        <f t="shared" si="3"/>
        <v>0.33111713687632943</v>
      </c>
      <c r="L54" s="3">
        <f t="shared" si="4"/>
        <v>327.57479999999998</v>
      </c>
      <c r="M54" s="4">
        <f t="shared" si="5"/>
        <v>0.92327500496755299</v>
      </c>
      <c r="N54" s="3">
        <f t="shared" si="6"/>
        <v>747.44249999999977</v>
      </c>
      <c r="O54" s="4">
        <f t="shared" si="7"/>
        <v>16.567868623370479</v>
      </c>
      <c r="P54" s="3">
        <f t="shared" si="8"/>
        <v>2339.8199999999993</v>
      </c>
      <c r="Q54" s="10">
        <f t="shared" si="9"/>
        <v>899.25519116008593</v>
      </c>
      <c r="R54" s="8"/>
      <c r="S54" s="8"/>
    </row>
    <row r="55" spans="3:19" x14ac:dyDescent="0.25">
      <c r="C55" s="2">
        <f>AtmosphereISA!C51:F51</f>
        <v>11760</v>
      </c>
      <c r="D55" s="2">
        <f>AtmosphereISA!D51:G51</f>
        <v>11.76</v>
      </c>
      <c r="E55" s="2">
        <f>AtmosphereISA!E51:H51</f>
        <v>20139</v>
      </c>
      <c r="F55" s="2">
        <f>AtmosphereISA!F51:I51</f>
        <v>-56.5</v>
      </c>
      <c r="G55" s="2">
        <f>AtmosphereISA!G51:J51</f>
        <v>216.64999999999998</v>
      </c>
      <c r="H55" s="3">
        <f t="shared" si="0"/>
        <v>223.58279999999999</v>
      </c>
      <c r="I55" s="4">
        <f t="shared" si="1"/>
        <v>0.22486240039442623</v>
      </c>
      <c r="J55" s="3">
        <f t="shared" si="2"/>
        <v>244.38119999999995</v>
      </c>
      <c r="K55" s="4">
        <f t="shared" si="3"/>
        <v>0.30698683452501607</v>
      </c>
      <c r="L55" s="3">
        <f t="shared" si="4"/>
        <v>327.57479999999998</v>
      </c>
      <c r="M55" s="4">
        <f t="shared" si="5"/>
        <v>0.85599094581721524</v>
      </c>
      <c r="N55" s="3">
        <f t="shared" si="6"/>
        <v>747.44249999999977</v>
      </c>
      <c r="O55" s="4">
        <f t="shared" si="7"/>
        <v>15.360478142254768</v>
      </c>
      <c r="P55" s="3">
        <f t="shared" si="8"/>
        <v>2339.8199999999993</v>
      </c>
      <c r="Q55" s="10">
        <f t="shared" si="9"/>
        <v>833.72158616945819</v>
      </c>
      <c r="R55" s="8"/>
      <c r="S55" s="8"/>
    </row>
    <row r="56" spans="3:19" x14ac:dyDescent="0.25">
      <c r="C56" s="2">
        <f>AtmosphereISA!C52:F52</f>
        <v>12250</v>
      </c>
      <c r="D56" s="2">
        <f>AtmosphereISA!D52:G52</f>
        <v>12.25</v>
      </c>
      <c r="E56" s="2">
        <f>AtmosphereISA!E52:H52</f>
        <v>18642</v>
      </c>
      <c r="F56" s="2">
        <f>AtmosphereISA!F52:I52</f>
        <v>-56.5</v>
      </c>
      <c r="G56" s="2">
        <f>AtmosphereISA!G52:J52</f>
        <v>216.64999999999998</v>
      </c>
      <c r="H56" s="3">
        <f t="shared" si="0"/>
        <v>223.58279999999999</v>
      </c>
      <c r="I56" s="4">
        <f t="shared" si="1"/>
        <v>0.20814761746625424</v>
      </c>
      <c r="J56" s="3">
        <f t="shared" si="2"/>
        <v>244.38119999999995</v>
      </c>
      <c r="K56" s="4">
        <f t="shared" si="3"/>
        <v>0.2841674645819231</v>
      </c>
      <c r="L56" s="3">
        <f t="shared" si="4"/>
        <v>327.57479999999998</v>
      </c>
      <c r="M56" s="4">
        <f t="shared" si="5"/>
        <v>0.7923622430073255</v>
      </c>
      <c r="N56" s="3">
        <f t="shared" si="6"/>
        <v>747.44249999999977</v>
      </c>
      <c r="O56" s="4">
        <f t="shared" si="7"/>
        <v>14.218681837624182</v>
      </c>
      <c r="P56" s="3">
        <f t="shared" si="8"/>
        <v>2339.8199999999993</v>
      </c>
      <c r="Q56" s="10">
        <f t="shared" si="9"/>
        <v>771.74824019916775</v>
      </c>
      <c r="R56" s="8"/>
      <c r="S56" s="8"/>
    </row>
    <row r="57" spans="3:19" x14ac:dyDescent="0.25">
      <c r="C57" s="2">
        <f>AtmosphereISA!C53:F53</f>
        <v>12750</v>
      </c>
      <c r="D57" s="2">
        <f>AtmosphereISA!D53:G53</f>
        <v>12.75</v>
      </c>
      <c r="E57" s="2">
        <f>AtmosphereISA!E53:H53</f>
        <v>17229</v>
      </c>
      <c r="F57" s="2">
        <f>AtmosphereISA!F53:I53</f>
        <v>-56.5</v>
      </c>
      <c r="G57" s="2">
        <f>AtmosphereISA!G53:J53</f>
        <v>216.64999999999998</v>
      </c>
      <c r="H57" s="3">
        <f t="shared" si="0"/>
        <v>223.58279999999999</v>
      </c>
      <c r="I57" s="4">
        <f t="shared" si="1"/>
        <v>0.19237073818936243</v>
      </c>
      <c r="J57" s="3">
        <f t="shared" si="2"/>
        <v>244.38119999999995</v>
      </c>
      <c r="K57" s="4">
        <f t="shared" si="3"/>
        <v>0.26262854024685939</v>
      </c>
      <c r="L57" s="3">
        <f t="shared" si="4"/>
        <v>327.57479999999998</v>
      </c>
      <c r="M57" s="4">
        <f t="shared" si="5"/>
        <v>0.73230388825089632</v>
      </c>
      <c r="N57" s="3">
        <f t="shared" si="6"/>
        <v>747.44249999999977</v>
      </c>
      <c r="O57" s="4">
        <f t="shared" si="7"/>
        <v>13.140954263513949</v>
      </c>
      <c r="P57" s="3">
        <f t="shared" si="8"/>
        <v>2339.8199999999993</v>
      </c>
      <c r="Q57" s="10">
        <f t="shared" si="9"/>
        <v>713.25235652781146</v>
      </c>
      <c r="R57" s="8"/>
      <c r="S57" s="8"/>
    </row>
    <row r="58" spans="3:19" x14ac:dyDescent="0.25">
      <c r="C58" s="2">
        <f>AtmosphereISA!C54:F54</f>
        <v>13260</v>
      </c>
      <c r="D58" s="2">
        <f>AtmosphereISA!D54:G54</f>
        <v>13.26</v>
      </c>
      <c r="E58" s="2">
        <f>AtmosphereISA!E54:H54</f>
        <v>15898</v>
      </c>
      <c r="F58" s="2">
        <f>AtmosphereISA!F54:I54</f>
        <v>-56.5</v>
      </c>
      <c r="G58" s="2">
        <f>AtmosphereISA!G54:J54</f>
        <v>216.64999999999998</v>
      </c>
      <c r="H58" s="3">
        <f t="shared" si="0"/>
        <v>223.58279999999999</v>
      </c>
      <c r="I58" s="4">
        <f t="shared" si="1"/>
        <v>0.17750943152443457</v>
      </c>
      <c r="J58" s="3">
        <f t="shared" si="2"/>
        <v>244.38119999999995</v>
      </c>
      <c r="K58" s="4">
        <f t="shared" si="3"/>
        <v>0.24233957471963383</v>
      </c>
      <c r="L58" s="3">
        <f t="shared" si="4"/>
        <v>327.57479999999998</v>
      </c>
      <c r="M58" s="4">
        <f t="shared" si="5"/>
        <v>0.67573087326094083</v>
      </c>
      <c r="N58" s="3">
        <f t="shared" si="6"/>
        <v>747.44249999999977</v>
      </c>
      <c r="O58" s="4">
        <f t="shared" si="7"/>
        <v>12.125769973959299</v>
      </c>
      <c r="P58" s="3">
        <f t="shared" si="8"/>
        <v>2339.8199999999993</v>
      </c>
      <c r="Q58" s="10">
        <f t="shared" si="9"/>
        <v>658.15113843398603</v>
      </c>
      <c r="R58" s="8"/>
      <c r="S58" s="8"/>
    </row>
    <row r="59" spans="3:19" x14ac:dyDescent="0.25">
      <c r="C59" s="2">
        <f>AtmosphereISA!C55:F55</f>
        <v>13780</v>
      </c>
      <c r="D59" s="2">
        <f>AtmosphereISA!D55:G55</f>
        <v>13.78</v>
      </c>
      <c r="E59" s="2">
        <f>AtmosphereISA!E55:H55</f>
        <v>14646</v>
      </c>
      <c r="F59" s="2">
        <f>AtmosphereISA!F55:I55</f>
        <v>-56.5</v>
      </c>
      <c r="G59" s="2">
        <f>AtmosphereISA!G55:J55</f>
        <v>216.64999999999998</v>
      </c>
      <c r="H59" s="3">
        <f t="shared" si="0"/>
        <v>223.58279999999999</v>
      </c>
      <c r="I59" s="4">
        <f t="shared" si="1"/>
        <v>0.16353020091249648</v>
      </c>
      <c r="J59" s="3">
        <f t="shared" si="2"/>
        <v>244.38119999999995</v>
      </c>
      <c r="K59" s="4">
        <f t="shared" si="3"/>
        <v>0.22325483779995953</v>
      </c>
      <c r="L59" s="3">
        <f t="shared" si="4"/>
        <v>327.57479999999998</v>
      </c>
      <c r="M59" s="4">
        <f t="shared" si="5"/>
        <v>0.62251568560697823</v>
      </c>
      <c r="N59" s="3">
        <f t="shared" si="6"/>
        <v>747.44249999999977</v>
      </c>
      <c r="O59" s="4">
        <f t="shared" si="7"/>
        <v>11.170840800013076</v>
      </c>
      <c r="P59" s="3">
        <f t="shared" si="8"/>
        <v>2339.8199999999993</v>
      </c>
      <c r="Q59" s="10">
        <f t="shared" si="9"/>
        <v>606.32039083558698</v>
      </c>
      <c r="R59" s="8"/>
      <c r="S59" s="8"/>
    </row>
    <row r="60" spans="3:19" x14ac:dyDescent="0.25">
      <c r="C60" s="2">
        <f>AtmosphereISA!C56:F56</f>
        <v>14310</v>
      </c>
      <c r="D60" s="2">
        <f>AtmosphereISA!D56:G56</f>
        <v>14.31</v>
      </c>
      <c r="E60" s="2">
        <f>AtmosphereISA!E56:H56</f>
        <v>13472</v>
      </c>
      <c r="F60" s="2">
        <f>AtmosphereISA!F56:I56</f>
        <v>-56.5</v>
      </c>
      <c r="G60" s="2">
        <f>AtmosphereISA!G56:J56</f>
        <v>216.64999999999998</v>
      </c>
      <c r="H60" s="3">
        <f t="shared" si="0"/>
        <v>223.58279999999999</v>
      </c>
      <c r="I60" s="4">
        <f t="shared" si="1"/>
        <v>0.15042188083388996</v>
      </c>
      <c r="J60" s="3">
        <f t="shared" si="2"/>
        <v>244.38119999999995</v>
      </c>
      <c r="K60" s="4">
        <f t="shared" si="3"/>
        <v>0.20535908608774101</v>
      </c>
      <c r="L60" s="3">
        <f t="shared" si="4"/>
        <v>327.57479999999998</v>
      </c>
      <c r="M60" s="4">
        <f t="shared" si="5"/>
        <v>0.5726158211455149</v>
      </c>
      <c r="N60" s="3">
        <f t="shared" si="6"/>
        <v>747.44249999999977</v>
      </c>
      <c r="O60" s="4">
        <f t="shared" si="7"/>
        <v>10.275404018692896</v>
      </c>
      <c r="P60" s="3">
        <f t="shared" si="8"/>
        <v>2339.8199999999993</v>
      </c>
      <c r="Q60" s="10">
        <f t="shared" si="9"/>
        <v>557.71871537191225</v>
      </c>
      <c r="R60" s="8"/>
      <c r="S60" s="8"/>
    </row>
    <row r="61" spans="3:19" x14ac:dyDescent="0.25">
      <c r="C61" s="2">
        <f>AtmosphereISA!C57:F57</f>
        <v>14850</v>
      </c>
      <c r="D61" s="2">
        <f>AtmosphereISA!D57:G57</f>
        <v>14.85</v>
      </c>
      <c r="E61" s="2">
        <f>AtmosphereISA!E57:H57</f>
        <v>12373</v>
      </c>
      <c r="F61" s="2">
        <f>AtmosphereISA!F57:I57</f>
        <v>-56.5</v>
      </c>
      <c r="G61" s="2">
        <f>AtmosphereISA!G57:J57</f>
        <v>216.64999999999998</v>
      </c>
      <c r="H61" s="3">
        <f t="shared" si="0"/>
        <v>223.58279999999999</v>
      </c>
      <c r="I61" s="4">
        <f t="shared" si="1"/>
        <v>0.13815097472964077</v>
      </c>
      <c r="J61" s="3">
        <f t="shared" si="2"/>
        <v>244.38119999999995</v>
      </c>
      <c r="K61" s="4">
        <f t="shared" si="3"/>
        <v>0.18860658938269148</v>
      </c>
      <c r="L61" s="3">
        <f t="shared" si="4"/>
        <v>327.57479999999998</v>
      </c>
      <c r="M61" s="4">
        <f t="shared" si="5"/>
        <v>0.52590376744606993</v>
      </c>
      <c r="N61" s="3">
        <f t="shared" si="6"/>
        <v>747.44249999999977</v>
      </c>
      <c r="O61" s="4">
        <f t="shared" si="7"/>
        <v>9.4371714610516051</v>
      </c>
      <c r="P61" s="3">
        <f t="shared" si="8"/>
        <v>2339.8199999999993</v>
      </c>
      <c r="Q61" s="10">
        <f t="shared" si="9"/>
        <v>512.22191696085736</v>
      </c>
      <c r="R61" s="8"/>
      <c r="S61" s="8"/>
    </row>
    <row r="62" spans="3:19" x14ac:dyDescent="0.25">
      <c r="C62" s="2">
        <f>AtmosphereISA!C58:F58</f>
        <v>15400</v>
      </c>
      <c r="D62" s="2">
        <f>AtmosphereISA!D58:G58</f>
        <v>15.4</v>
      </c>
      <c r="E62" s="2">
        <f>AtmosphereISA!E58:H58</f>
        <v>11345</v>
      </c>
      <c r="F62" s="2">
        <f>AtmosphereISA!F58:I58</f>
        <v>-56.5</v>
      </c>
      <c r="G62" s="2">
        <f>AtmosphereISA!G58:J58</f>
        <v>216.64999999999998</v>
      </c>
      <c r="H62" s="3">
        <f t="shared" si="0"/>
        <v>223.58279999999999</v>
      </c>
      <c r="I62" s="4">
        <f t="shared" si="1"/>
        <v>0.12667282052111653</v>
      </c>
      <c r="J62" s="3">
        <f t="shared" si="2"/>
        <v>244.38119999999995</v>
      </c>
      <c r="K62" s="4">
        <f t="shared" si="3"/>
        <v>0.17293637408442858</v>
      </c>
      <c r="L62" s="3">
        <f t="shared" si="4"/>
        <v>327.57479999999998</v>
      </c>
      <c r="M62" s="4">
        <f t="shared" si="5"/>
        <v>0.48220950793466938</v>
      </c>
      <c r="N62" s="3">
        <f t="shared" si="6"/>
        <v>747.44249999999977</v>
      </c>
      <c r="O62" s="4">
        <f t="shared" si="7"/>
        <v>8.653092235159658</v>
      </c>
      <c r="P62" s="3">
        <f t="shared" si="8"/>
        <v>2339.8199999999993</v>
      </c>
      <c r="Q62" s="10">
        <f t="shared" si="9"/>
        <v>469.6644021596158</v>
      </c>
      <c r="R62" s="8"/>
      <c r="S62" s="8"/>
    </row>
    <row r="63" spans="3:19" x14ac:dyDescent="0.25">
      <c r="C63" s="2">
        <f>AtmosphereISA!C59:F59</f>
        <v>15960</v>
      </c>
      <c r="D63" s="2">
        <f>AtmosphereISA!D59:G59</f>
        <v>15.96</v>
      </c>
      <c r="E63" s="2">
        <f>AtmosphereISA!E59:H59</f>
        <v>10386</v>
      </c>
      <c r="F63" s="2">
        <f>AtmosphereISA!F59:I59</f>
        <v>-56.5</v>
      </c>
      <c r="G63" s="2">
        <f>AtmosphereISA!G59:J59</f>
        <v>216.64999999999998</v>
      </c>
      <c r="H63" s="3">
        <f t="shared" si="0"/>
        <v>223.58279999999999</v>
      </c>
      <c r="I63" s="4">
        <f t="shared" si="1"/>
        <v>0.11596508716900097</v>
      </c>
      <c r="J63" s="3">
        <f t="shared" si="2"/>
        <v>244.38119999999995</v>
      </c>
      <c r="K63" s="4">
        <f t="shared" si="3"/>
        <v>0.15831795339276117</v>
      </c>
      <c r="L63" s="3">
        <f t="shared" si="4"/>
        <v>327.57479999999998</v>
      </c>
      <c r="M63" s="4">
        <f t="shared" si="5"/>
        <v>0.44144803432432578</v>
      </c>
      <c r="N63" s="3">
        <f t="shared" si="6"/>
        <v>747.44249999999977</v>
      </c>
      <c r="O63" s="4">
        <f t="shared" si="7"/>
        <v>7.9216408950522883</v>
      </c>
      <c r="P63" s="3">
        <f t="shared" si="8"/>
        <v>2339.8199999999993</v>
      </c>
      <c r="Q63" s="10">
        <f t="shared" si="9"/>
        <v>429.9633742467845</v>
      </c>
      <c r="R63" s="8"/>
      <c r="S63" s="8"/>
    </row>
    <row r="64" spans="3:19" x14ac:dyDescent="0.25">
      <c r="C64" s="2">
        <f>AtmosphereISA!C60:F60</f>
        <v>16530</v>
      </c>
      <c r="D64" s="2">
        <f>AtmosphereISA!D60:G60</f>
        <v>16.53</v>
      </c>
      <c r="E64" s="2">
        <f>AtmosphereISA!E60:H60</f>
        <v>9493</v>
      </c>
      <c r="F64" s="2">
        <f>AtmosphereISA!F60:I60</f>
        <v>-56.5</v>
      </c>
      <c r="G64" s="2">
        <f>AtmosphereISA!G60:J60</f>
        <v>216.64999999999998</v>
      </c>
      <c r="H64" s="3">
        <f t="shared" si="0"/>
        <v>223.58279999999999</v>
      </c>
      <c r="I64" s="4">
        <f t="shared" si="1"/>
        <v>0.10599427811431987</v>
      </c>
      <c r="J64" s="3">
        <f t="shared" si="2"/>
        <v>244.38119999999995</v>
      </c>
      <c r="K64" s="4">
        <f t="shared" si="3"/>
        <v>0.14470559710740244</v>
      </c>
      <c r="L64" s="3">
        <f t="shared" si="4"/>
        <v>327.57479999999998</v>
      </c>
      <c r="M64" s="4">
        <f t="shared" si="5"/>
        <v>0.40349183418455853</v>
      </c>
      <c r="N64" s="3">
        <f t="shared" si="6"/>
        <v>747.44249999999977</v>
      </c>
      <c r="O64" s="4">
        <f t="shared" si="7"/>
        <v>7.2405292717823384</v>
      </c>
      <c r="P64" s="3">
        <f t="shared" si="8"/>
        <v>2339.8199999999993</v>
      </c>
      <c r="Q64" s="10">
        <f t="shared" si="9"/>
        <v>392.99463814025859</v>
      </c>
      <c r="R64" s="8"/>
      <c r="S64" s="8"/>
    </row>
    <row r="65" spans="3:19" x14ac:dyDescent="0.25">
      <c r="C65" s="2">
        <f>AtmosphereISA!C61:F61</f>
        <v>17110</v>
      </c>
      <c r="D65" s="2">
        <f>AtmosphereISA!D61:G61</f>
        <v>17.11</v>
      </c>
      <c r="E65" s="2">
        <f>AtmosphereISA!E61:H61</f>
        <v>8664</v>
      </c>
      <c r="F65" s="2">
        <f>AtmosphereISA!F61:I61</f>
        <v>-56.5</v>
      </c>
      <c r="G65" s="2">
        <f>AtmosphereISA!G61:J61</f>
        <v>216.64999999999998</v>
      </c>
      <c r="H65" s="3">
        <f t="shared" si="0"/>
        <v>223.58279999999999</v>
      </c>
      <c r="I65" s="4">
        <f t="shared" si="1"/>
        <v>9.6738062317757029E-2</v>
      </c>
      <c r="J65" s="3">
        <f t="shared" si="2"/>
        <v>244.38119999999995</v>
      </c>
      <c r="K65" s="4">
        <f t="shared" si="3"/>
        <v>0.13206881842816123</v>
      </c>
      <c r="L65" s="3">
        <f t="shared" si="4"/>
        <v>327.57479999999998</v>
      </c>
      <c r="M65" s="4">
        <f t="shared" si="5"/>
        <v>0.36825589922838037</v>
      </c>
      <c r="N65" s="3">
        <f t="shared" si="6"/>
        <v>747.44249999999977</v>
      </c>
      <c r="O65" s="4">
        <f t="shared" si="7"/>
        <v>6.6082319193850401</v>
      </c>
      <c r="P65" s="3">
        <f t="shared" si="8"/>
        <v>2339.8199999999993</v>
      </c>
      <c r="Q65" s="10">
        <f t="shared" si="9"/>
        <v>358.67539711863481</v>
      </c>
      <c r="R65" s="8"/>
      <c r="S65" s="8"/>
    </row>
    <row r="66" spans="3:19" x14ac:dyDescent="0.25">
      <c r="C66" s="2">
        <f>AtmosphereISA!C62:F62</f>
        <v>17700</v>
      </c>
      <c r="D66" s="2">
        <f>AtmosphereISA!D62:G62</f>
        <v>17.7</v>
      </c>
      <c r="E66" s="2">
        <f>AtmosphereISA!E62:H62</f>
        <v>7894</v>
      </c>
      <c r="F66" s="2">
        <f>AtmosphereISA!F62:I62</f>
        <v>-56.5</v>
      </c>
      <c r="G66" s="2">
        <f>AtmosphereISA!G62:J62</f>
        <v>216.64999999999998</v>
      </c>
      <c r="H66" s="3">
        <f t="shared" si="0"/>
        <v>223.58279999999999</v>
      </c>
      <c r="I66" s="4">
        <f t="shared" si="1"/>
        <v>8.8140612181021941E-2</v>
      </c>
      <c r="J66" s="3">
        <f t="shared" si="2"/>
        <v>244.38119999999995</v>
      </c>
      <c r="K66" s="4">
        <f t="shared" si="3"/>
        <v>0.12033140035455965</v>
      </c>
      <c r="L66" s="3">
        <f t="shared" si="4"/>
        <v>327.57479999999998</v>
      </c>
      <c r="M66" s="4">
        <f t="shared" si="5"/>
        <v>0.33552770873832349</v>
      </c>
      <c r="N66" s="3">
        <f t="shared" si="6"/>
        <v>747.44249999999977</v>
      </c>
      <c r="O66" s="4">
        <f t="shared" si="7"/>
        <v>6.0209352229484656</v>
      </c>
      <c r="P66" s="3">
        <f t="shared" si="8"/>
        <v>2339.8199999999993</v>
      </c>
      <c r="Q66" s="10">
        <f t="shared" si="9"/>
        <v>326.79865937840526</v>
      </c>
      <c r="R66" s="8"/>
      <c r="S66" s="8"/>
    </row>
    <row r="67" spans="3:19" x14ac:dyDescent="0.25">
      <c r="C67" s="2">
        <f>AtmosphereISA!C63:F63</f>
        <v>18300</v>
      </c>
      <c r="D67" s="2">
        <f>AtmosphereISA!D63:G63</f>
        <v>18.3</v>
      </c>
      <c r="E67" s="2">
        <f>AtmosphereISA!E63:H63</f>
        <v>7182</v>
      </c>
      <c r="F67" s="2">
        <f>AtmosphereISA!F63:I63</f>
        <v>-56.5</v>
      </c>
      <c r="G67" s="2">
        <f>AtmosphereISA!G63:J63</f>
        <v>216.64999999999998</v>
      </c>
      <c r="H67" s="3">
        <f t="shared" si="0"/>
        <v>223.58279999999999</v>
      </c>
      <c r="I67" s="4">
        <f t="shared" si="1"/>
        <v>8.0190762184456491E-2</v>
      </c>
      <c r="J67" s="3">
        <f t="shared" si="2"/>
        <v>244.38119999999995</v>
      </c>
      <c r="K67" s="4">
        <f t="shared" si="3"/>
        <v>0.10947809948650207</v>
      </c>
      <c r="L67" s="3">
        <f t="shared" si="4"/>
        <v>327.57479999999998</v>
      </c>
      <c r="M67" s="4">
        <f t="shared" si="5"/>
        <v>0.30526475857089425</v>
      </c>
      <c r="N67" s="3">
        <f t="shared" si="6"/>
        <v>747.44249999999977</v>
      </c>
      <c r="O67" s="4">
        <f t="shared" si="7"/>
        <v>5.4778764594902309</v>
      </c>
      <c r="P67" s="3">
        <f t="shared" si="8"/>
        <v>2339.8199999999993</v>
      </c>
      <c r="Q67" s="10">
        <f t="shared" si="9"/>
        <v>297.32302655886826</v>
      </c>
      <c r="R67" s="8"/>
      <c r="S67" s="8"/>
    </row>
    <row r="68" spans="3:19" x14ac:dyDescent="0.25">
      <c r="C68" s="2">
        <f>AtmosphereISA!C64:F64</f>
        <v>18910</v>
      </c>
      <c r="D68" s="2">
        <f>AtmosphereISA!D64:G64</f>
        <v>18.91</v>
      </c>
      <c r="E68" s="2">
        <f>AtmosphereISA!E64:H64</f>
        <v>6523</v>
      </c>
      <c r="F68" s="2">
        <f>AtmosphereISA!F64:I64</f>
        <v>-56.5</v>
      </c>
      <c r="G68" s="2">
        <f>AtmosphereISA!G64:J64</f>
        <v>216.64999999999998</v>
      </c>
      <c r="H68" s="3">
        <f t="shared" si="0"/>
        <v>223.58279999999999</v>
      </c>
      <c r="I68" s="4">
        <f t="shared" si="1"/>
        <v>7.2832684729770211E-2</v>
      </c>
      <c r="J68" s="3">
        <f t="shared" si="2"/>
        <v>244.38119999999995</v>
      </c>
      <c r="K68" s="4">
        <f t="shared" si="3"/>
        <v>9.9432698823510579E-2</v>
      </c>
      <c r="L68" s="3">
        <f t="shared" si="4"/>
        <v>327.57479999999998</v>
      </c>
      <c r="M68" s="4">
        <f t="shared" si="5"/>
        <v>0.27725452800862482</v>
      </c>
      <c r="N68" s="3">
        <f t="shared" si="6"/>
        <v>747.44249999999977</v>
      </c>
      <c r="O68" s="4">
        <f t="shared" si="7"/>
        <v>4.9752420140984093</v>
      </c>
      <c r="P68" s="3">
        <f t="shared" si="8"/>
        <v>2339.8199999999993</v>
      </c>
      <c r="Q68" s="10">
        <f t="shared" si="9"/>
        <v>270.04150685651598</v>
      </c>
      <c r="R68" s="8"/>
      <c r="S68" s="8"/>
    </row>
    <row r="69" spans="3:19" x14ac:dyDescent="0.25">
      <c r="C69" s="2">
        <f>AtmosphereISA!C65:F65</f>
        <v>19530</v>
      </c>
      <c r="D69" s="2">
        <f>AtmosphereISA!D65:G65</f>
        <v>19.53</v>
      </c>
      <c r="E69" s="2">
        <f>AtmosphereISA!E65:H65</f>
        <v>5916</v>
      </c>
      <c r="F69" s="2">
        <f>AtmosphereISA!F65:I65</f>
        <v>-56.5</v>
      </c>
      <c r="G69" s="2">
        <f>AtmosphereISA!G65:J65</f>
        <v>216.64999999999998</v>
      </c>
      <c r="H69" s="3">
        <f t="shared" si="0"/>
        <v>223.58279999999999</v>
      </c>
      <c r="I69" s="4">
        <f t="shared" si="1"/>
        <v>6.6055214297305015E-2</v>
      </c>
      <c r="J69" s="3">
        <f t="shared" si="2"/>
        <v>244.38119999999995</v>
      </c>
      <c r="K69" s="4">
        <f t="shared" si="3"/>
        <v>9.0179954965489598E-2</v>
      </c>
      <c r="L69" s="3">
        <f t="shared" si="4"/>
        <v>327.57479999999998</v>
      </c>
      <c r="M69" s="4">
        <f t="shared" si="5"/>
        <v>0.25145451290802151</v>
      </c>
      <c r="N69" s="3">
        <f t="shared" si="6"/>
        <v>747.44249999999977</v>
      </c>
      <c r="O69" s="4">
        <f t="shared" si="7"/>
        <v>4.5122691637906156</v>
      </c>
      <c r="P69" s="3">
        <f t="shared" si="8"/>
        <v>2339.8199999999993</v>
      </c>
      <c r="Q69" s="10">
        <f t="shared" si="9"/>
        <v>244.91270191064675</v>
      </c>
      <c r="R69" s="8"/>
      <c r="S69" s="8"/>
    </row>
    <row r="70" spans="3:19" x14ac:dyDescent="0.25">
      <c r="C70" s="2">
        <f>AtmosphereISA!C66:F66</f>
        <v>20160</v>
      </c>
      <c r="D70" s="2">
        <f>AtmosphereISA!D66:G66</f>
        <v>20.16</v>
      </c>
      <c r="E70" s="2">
        <f>AtmosphereISA!E66:H66</f>
        <v>5393</v>
      </c>
      <c r="F70" s="2">
        <f>AtmosphereISA!F66:I66</f>
        <v>-56.4</v>
      </c>
      <c r="G70" s="2">
        <f>AtmosphereISA!G66:J66</f>
        <v>216.74999999999997</v>
      </c>
      <c r="H70" s="3">
        <f t="shared" si="0"/>
        <v>223.68599999999998</v>
      </c>
      <c r="I70" s="4">
        <f t="shared" si="1"/>
        <v>6.0215647516119998E-2</v>
      </c>
      <c r="J70" s="3">
        <f t="shared" si="2"/>
        <v>244.49399999999994</v>
      </c>
      <c r="K70" s="4">
        <f t="shared" si="3"/>
        <v>8.2207656715497873E-2</v>
      </c>
      <c r="L70" s="3">
        <f t="shared" si="4"/>
        <v>327.72599999999994</v>
      </c>
      <c r="M70" s="4">
        <f t="shared" si="5"/>
        <v>0.22922484586087896</v>
      </c>
      <c r="N70" s="3">
        <f t="shared" si="6"/>
        <v>747.7874999999998</v>
      </c>
      <c r="O70" s="4">
        <f t="shared" si="7"/>
        <v>4.1133650440031762</v>
      </c>
      <c r="P70" s="3">
        <f t="shared" si="8"/>
        <v>2340.8999999999992</v>
      </c>
      <c r="Q70" s="10">
        <f t="shared" si="9"/>
        <v>223.2613592637116</v>
      </c>
      <c r="R70" s="8"/>
      <c r="S70" s="8"/>
    </row>
    <row r="71" spans="3:19" x14ac:dyDescent="0.25">
      <c r="C71" s="2">
        <f>AtmosphereISA!C67:F67</f>
        <v>20800</v>
      </c>
      <c r="D71" s="2">
        <f>AtmosphereISA!D67:G67</f>
        <v>20.8</v>
      </c>
      <c r="E71" s="2">
        <f>AtmosphereISA!E67:H67</f>
        <v>4876</v>
      </c>
      <c r="F71" s="2">
        <f>AtmosphereISA!F67:I67</f>
        <v>-55.76</v>
      </c>
      <c r="G71" s="2">
        <f>AtmosphereISA!G67:J67</f>
        <v>217.39</v>
      </c>
      <c r="H71" s="3">
        <f t="shared" si="0"/>
        <v>224.34647999999999</v>
      </c>
      <c r="I71" s="4">
        <f t="shared" si="1"/>
        <v>5.4443073852883571E-2</v>
      </c>
      <c r="J71" s="3">
        <f t="shared" si="2"/>
        <v>245.21591999999995</v>
      </c>
      <c r="K71" s="4">
        <f t="shared" si="3"/>
        <v>7.4326818866079655E-2</v>
      </c>
      <c r="L71" s="3">
        <f t="shared" si="4"/>
        <v>328.69367999999997</v>
      </c>
      <c r="M71" s="4">
        <f t="shared" si="5"/>
        <v>0.2072502036746979</v>
      </c>
      <c r="N71" s="3">
        <f t="shared" si="6"/>
        <v>749.99549999999977</v>
      </c>
      <c r="O71" s="4">
        <f t="shared" si="7"/>
        <v>3.7190372621100476</v>
      </c>
      <c r="P71" s="3">
        <f t="shared" si="8"/>
        <v>2347.8119999999994</v>
      </c>
      <c r="Q71" s="10">
        <f t="shared" si="9"/>
        <v>201.85840678098603</v>
      </c>
      <c r="R71" s="8"/>
      <c r="S71" s="8"/>
    </row>
    <row r="72" spans="3:19" x14ac:dyDescent="0.25">
      <c r="C72" s="2">
        <f>AtmosphereISA!C68:F68</f>
        <v>21450</v>
      </c>
      <c r="D72" s="2">
        <f>AtmosphereISA!D68:G68</f>
        <v>21.45</v>
      </c>
      <c r="E72" s="2">
        <f>AtmosphereISA!E68:H68</f>
        <v>4404</v>
      </c>
      <c r="F72" s="2">
        <f>AtmosphereISA!F68:I68</f>
        <v>-55.11</v>
      </c>
      <c r="G72" s="2">
        <f>AtmosphereISA!G68:J68</f>
        <v>218.03999999999996</v>
      </c>
      <c r="H72" s="3">
        <f t="shared" ref="H72:H135" si="10">G72*$I$2</f>
        <v>225.01727999999997</v>
      </c>
      <c r="I72" s="4">
        <f t="shared" ref="I72:I135" si="11">$I$3*E72/100000</f>
        <v>4.9172948574261535E-2</v>
      </c>
      <c r="J72" s="3">
        <f t="shared" ref="J72:J135" si="12">G72*$K$2</f>
        <v>245.94911999999994</v>
      </c>
      <c r="K72" s="4">
        <f t="shared" ref="K72:K135" si="13">$K$3*E72/100000</f>
        <v>6.7131934020962847E-2</v>
      </c>
      <c r="L72" s="3">
        <f t="shared" ref="L72:L135" si="14">G72*$M$2</f>
        <v>329.67647999999997</v>
      </c>
      <c r="M72" s="4">
        <f t="shared" ref="M72:M135" si="15">$M$3*E72/100000</f>
        <v>0.187188247945728</v>
      </c>
      <c r="N72" s="3">
        <f t="shared" ref="N72:N135" si="16">G72*$O$2</f>
        <v>752.23799999999972</v>
      </c>
      <c r="O72" s="4">
        <f t="shared" ref="O72:O135" si="17">$O$3*E72/100000</f>
        <v>3.3590320144242516</v>
      </c>
      <c r="P72" s="3">
        <f t="shared" ref="P72:P135" si="18">G72*$Q$2</f>
        <v>2354.831999999999</v>
      </c>
      <c r="Q72" s="10">
        <f t="shared" ref="Q72:Q135" si="19">$Q$3*E72/100000</f>
        <v>182.31838052983235</v>
      </c>
      <c r="R72" s="8"/>
      <c r="S72" s="8"/>
    </row>
    <row r="73" spans="3:19" x14ac:dyDescent="0.25">
      <c r="C73" s="2">
        <f>AtmosphereISA!C69:F69</f>
        <v>22110</v>
      </c>
      <c r="D73" s="2">
        <f>AtmosphereISA!D69:G69</f>
        <v>22.11</v>
      </c>
      <c r="E73" s="2">
        <f>AtmosphereISA!E69:H69</f>
        <v>3972</v>
      </c>
      <c r="F73" s="2">
        <f>AtmosphereISA!F69:I69</f>
        <v>-54.45</v>
      </c>
      <c r="G73" s="2">
        <f>AtmosphereISA!G69:J69</f>
        <v>218.7</v>
      </c>
      <c r="H73" s="3">
        <f t="shared" si="10"/>
        <v>225.69839999999999</v>
      </c>
      <c r="I73" s="4">
        <f t="shared" si="11"/>
        <v>4.4349444081963403E-2</v>
      </c>
      <c r="J73" s="3">
        <f t="shared" si="12"/>
        <v>246.69359999999998</v>
      </c>
      <c r="K73" s="4">
        <f t="shared" si="13"/>
        <v>6.0546785179669486E-2</v>
      </c>
      <c r="L73" s="3">
        <f t="shared" si="14"/>
        <v>330.67439999999999</v>
      </c>
      <c r="M73" s="4">
        <f t="shared" si="15"/>
        <v>0.16882645795650125</v>
      </c>
      <c r="N73" s="3">
        <f t="shared" si="16"/>
        <v>754.51499999999976</v>
      </c>
      <c r="O73" s="4">
        <f t="shared" si="17"/>
        <v>3.0295356860338618</v>
      </c>
      <c r="P73" s="3">
        <f t="shared" si="18"/>
        <v>2361.9599999999991</v>
      </c>
      <c r="Q73" s="10">
        <f t="shared" si="19"/>
        <v>164.43428870674254</v>
      </c>
      <c r="R73" s="8"/>
      <c r="S73" s="8"/>
    </row>
    <row r="74" spans="3:19" x14ac:dyDescent="0.25">
      <c r="C74" s="2">
        <f>AtmosphereISA!C70:F70</f>
        <v>22780</v>
      </c>
      <c r="D74" s="2">
        <f>AtmosphereISA!D70:G70</f>
        <v>22.78</v>
      </c>
      <c r="E74" s="2">
        <f>AtmosphereISA!E70:H70</f>
        <v>3578</v>
      </c>
      <c r="F74" s="2">
        <f>AtmosphereISA!F70:I70</f>
        <v>-53.78</v>
      </c>
      <c r="G74" s="2">
        <f>AtmosphereISA!G70:J70</f>
        <v>219.36999999999998</v>
      </c>
      <c r="H74" s="3">
        <f t="shared" si="10"/>
        <v>226.38983999999999</v>
      </c>
      <c r="I74" s="4">
        <f t="shared" si="11"/>
        <v>3.9950229336672971E-2</v>
      </c>
      <c r="J74" s="3">
        <f t="shared" si="12"/>
        <v>247.44935999999996</v>
      </c>
      <c r="K74" s="4">
        <f t="shared" si="13"/>
        <v>5.4540885542008422E-2</v>
      </c>
      <c r="L74" s="3">
        <f t="shared" si="14"/>
        <v>331.68743999999998</v>
      </c>
      <c r="M74" s="4">
        <f t="shared" si="15"/>
        <v>0.1520798254200306</v>
      </c>
      <c r="N74" s="3">
        <f t="shared" si="16"/>
        <v>756.82649999999978</v>
      </c>
      <c r="O74" s="4">
        <f t="shared" si="17"/>
        <v>2.7290228309741082</v>
      </c>
      <c r="P74" s="3">
        <f t="shared" si="18"/>
        <v>2369.195999999999</v>
      </c>
      <c r="Q74" s="10">
        <f t="shared" si="19"/>
        <v>148.12333459031339</v>
      </c>
      <c r="R74" s="8"/>
      <c r="S74" s="8"/>
    </row>
    <row r="75" spans="3:19" x14ac:dyDescent="0.25">
      <c r="C75" s="2">
        <f>AtmosphereISA!C71:F71</f>
        <v>23460</v>
      </c>
      <c r="D75" s="2">
        <f>AtmosphereISA!D71:G71</f>
        <v>23.46</v>
      </c>
      <c r="E75" s="2">
        <f>AtmosphereISA!E71:H71</f>
        <v>3219</v>
      </c>
      <c r="F75" s="2">
        <f>AtmosphereISA!F71:I71</f>
        <v>-53.1</v>
      </c>
      <c r="G75" s="2">
        <f>AtmosphereISA!G71:J71</f>
        <v>220.04999999999998</v>
      </c>
      <c r="H75" s="3">
        <f t="shared" si="10"/>
        <v>227.0916</v>
      </c>
      <c r="I75" s="4">
        <f t="shared" si="11"/>
        <v>3.5941807779415962E-2</v>
      </c>
      <c r="J75" s="3">
        <f t="shared" si="12"/>
        <v>248.21639999999996</v>
      </c>
      <c r="K75" s="4">
        <f t="shared" si="13"/>
        <v>4.9068504907692871E-2</v>
      </c>
      <c r="L75" s="3">
        <f t="shared" si="14"/>
        <v>332.71559999999999</v>
      </c>
      <c r="M75" s="4">
        <f t="shared" si="15"/>
        <v>0.13682083790583524</v>
      </c>
      <c r="N75" s="3">
        <f t="shared" si="16"/>
        <v>759.17249999999979</v>
      </c>
      <c r="O75" s="4">
        <f t="shared" si="17"/>
        <v>2.455205280297835</v>
      </c>
      <c r="P75" s="3">
        <f t="shared" si="18"/>
        <v>2376.5399999999991</v>
      </c>
      <c r="Q75" s="10">
        <f t="shared" si="19"/>
        <v>133.26132309844013</v>
      </c>
      <c r="R75" s="8"/>
      <c r="S75" s="8"/>
    </row>
    <row r="76" spans="3:19" x14ac:dyDescent="0.25">
      <c r="C76" s="2">
        <f>AtmosphereISA!C72:F72</f>
        <v>24150</v>
      </c>
      <c r="D76" s="2">
        <f>AtmosphereISA!D72:G72</f>
        <v>24.15</v>
      </c>
      <c r="E76" s="2">
        <f>AtmosphereISA!E72:H72</f>
        <v>2892</v>
      </c>
      <c r="F76" s="2">
        <f>AtmosphereISA!F72:I72</f>
        <v>-52.41</v>
      </c>
      <c r="G76" s="2">
        <f>AtmosphereISA!G72:J72</f>
        <v>220.73999999999998</v>
      </c>
      <c r="H76" s="3">
        <f t="shared" si="10"/>
        <v>227.80367999999999</v>
      </c>
      <c r="I76" s="4">
        <f t="shared" si="11"/>
        <v>3.2290682851218069E-2</v>
      </c>
      <c r="J76" s="3">
        <f t="shared" si="12"/>
        <v>248.99471999999994</v>
      </c>
      <c r="K76" s="4">
        <f t="shared" si="13"/>
        <v>4.4083913076436096E-2</v>
      </c>
      <c r="L76" s="3">
        <f t="shared" si="14"/>
        <v>333.75887999999998</v>
      </c>
      <c r="M76" s="4">
        <f t="shared" si="15"/>
        <v>0.12292198298343444</v>
      </c>
      <c r="N76" s="3">
        <f t="shared" si="16"/>
        <v>761.55299999999977</v>
      </c>
      <c r="O76" s="4">
        <f t="shared" si="17"/>
        <v>2.2057948650578871</v>
      </c>
      <c r="P76" s="3">
        <f t="shared" si="18"/>
        <v>2383.9919999999993</v>
      </c>
      <c r="Q76" s="10">
        <f t="shared" si="19"/>
        <v>119.72405914901799</v>
      </c>
      <c r="R76" s="8"/>
      <c r="S76" s="8"/>
    </row>
    <row r="77" spans="3:19" x14ac:dyDescent="0.25">
      <c r="C77" s="2">
        <f>AtmosphereISA!C73:F73</f>
        <v>24850</v>
      </c>
      <c r="D77" s="2">
        <f>AtmosphereISA!D73:G73</f>
        <v>24.85</v>
      </c>
      <c r="E77" s="2">
        <f>AtmosphereISA!E73:H73</f>
        <v>2596</v>
      </c>
      <c r="F77" s="2">
        <f>AtmosphereISA!F73:I73</f>
        <v>-51.71</v>
      </c>
      <c r="G77" s="2">
        <f>AtmosphereISA!G73:J73</f>
        <v>221.43999999999997</v>
      </c>
      <c r="H77" s="3">
        <f t="shared" si="10"/>
        <v>228.52607999999998</v>
      </c>
      <c r="I77" s="4">
        <f t="shared" si="11"/>
        <v>2.8985689032421196E-2</v>
      </c>
      <c r="J77" s="3">
        <f t="shared" si="12"/>
        <v>249.78431999999995</v>
      </c>
      <c r="K77" s="4">
        <f t="shared" si="13"/>
        <v>3.9571866648142495E-2</v>
      </c>
      <c r="L77" s="3">
        <f t="shared" si="14"/>
        <v>334.81727999999998</v>
      </c>
      <c r="M77" s="4">
        <f t="shared" si="15"/>
        <v>0.11034075650933466</v>
      </c>
      <c r="N77" s="3">
        <f t="shared" si="16"/>
        <v>763.96799999999973</v>
      </c>
      <c r="O77" s="4">
        <f t="shared" si="17"/>
        <v>1.9800288622718794</v>
      </c>
      <c r="P77" s="3">
        <f t="shared" si="18"/>
        <v>2391.5519999999992</v>
      </c>
      <c r="Q77" s="10">
        <f t="shared" si="19"/>
        <v>107.47014438134532</v>
      </c>
      <c r="R77" s="8"/>
      <c r="S77" s="8"/>
    </row>
    <row r="78" spans="3:19" x14ac:dyDescent="0.25">
      <c r="C78" s="2">
        <f>AtmosphereISA!C74:F74</f>
        <v>25560</v>
      </c>
      <c r="D78" s="2">
        <f>AtmosphereISA!D74:G74</f>
        <v>25.56</v>
      </c>
      <c r="E78" s="2">
        <f>AtmosphereISA!E74:H74</f>
        <v>2327</v>
      </c>
      <c r="F78" s="2">
        <f>AtmosphereISA!F74:I74</f>
        <v>-51</v>
      </c>
      <c r="G78" s="2">
        <f>AtmosphereISA!G74:J74</f>
        <v>222.14999999999998</v>
      </c>
      <c r="H78" s="3">
        <f t="shared" si="10"/>
        <v>229.25879999999998</v>
      </c>
      <c r="I78" s="4">
        <f t="shared" si="11"/>
        <v>2.5982164244392963E-2</v>
      </c>
      <c r="J78" s="3">
        <f t="shared" si="12"/>
        <v>250.58519999999996</v>
      </c>
      <c r="K78" s="4">
        <f t="shared" si="13"/>
        <v>3.5471392022429729E-2</v>
      </c>
      <c r="L78" s="3">
        <f t="shared" si="14"/>
        <v>335.89079999999996</v>
      </c>
      <c r="M78" s="4">
        <f t="shared" si="15"/>
        <v>9.8907141909561541E-2</v>
      </c>
      <c r="N78" s="3">
        <f t="shared" si="16"/>
        <v>766.41749999999979</v>
      </c>
      <c r="O78" s="4">
        <f t="shared" si="17"/>
        <v>1.774856380010271</v>
      </c>
      <c r="P78" s="3">
        <f t="shared" si="18"/>
        <v>2399.2199999999993</v>
      </c>
      <c r="Q78" s="10">
        <f t="shared" si="19"/>
        <v>96.333985352615784</v>
      </c>
      <c r="R78" s="8"/>
      <c r="S78" s="8"/>
    </row>
    <row r="79" spans="3:19" x14ac:dyDescent="0.25">
      <c r="C79" s="2">
        <f>AtmosphereISA!C75:F75</f>
        <v>26280</v>
      </c>
      <c r="D79" s="2">
        <f>AtmosphereISA!D75:G75</f>
        <v>26.28</v>
      </c>
      <c r="E79" s="2">
        <f>AtmosphereISA!E75:H75</f>
        <v>2083</v>
      </c>
      <c r="F79" s="2">
        <f>AtmosphereISA!F75:I75</f>
        <v>-50.28</v>
      </c>
      <c r="G79" s="2">
        <f>AtmosphereISA!G75:J75</f>
        <v>222.86999999999998</v>
      </c>
      <c r="H79" s="3">
        <f t="shared" si="10"/>
        <v>230.00183999999999</v>
      </c>
      <c r="I79" s="4">
        <f t="shared" si="11"/>
        <v>2.3257777447817162E-2</v>
      </c>
      <c r="J79" s="3">
        <f t="shared" si="12"/>
        <v>251.39735999999994</v>
      </c>
      <c r="K79" s="4">
        <f t="shared" si="13"/>
        <v>3.1752002399106631E-2</v>
      </c>
      <c r="L79" s="3">
        <f t="shared" si="14"/>
        <v>336.97943999999995</v>
      </c>
      <c r="M79" s="4">
        <f t="shared" si="15"/>
        <v>8.8536130897127932E-2</v>
      </c>
      <c r="N79" s="3">
        <f t="shared" si="16"/>
        <v>768.90149999999971</v>
      </c>
      <c r="O79" s="4">
        <f t="shared" si="17"/>
        <v>1.5887519723082917</v>
      </c>
      <c r="P79" s="3">
        <f t="shared" si="18"/>
        <v>2406.9959999999992</v>
      </c>
      <c r="Q79" s="10">
        <f t="shared" si="19"/>
        <v>86.232785341426151</v>
      </c>
      <c r="R79" s="8"/>
      <c r="S79" s="8"/>
    </row>
    <row r="80" spans="3:19" x14ac:dyDescent="0.25">
      <c r="C80" s="2">
        <f>AtmosphereISA!C76:F76</f>
        <v>27010</v>
      </c>
      <c r="D80" s="2">
        <f>AtmosphereISA!D76:G76</f>
        <v>27.01</v>
      </c>
      <c r="E80" s="2">
        <f>AtmosphereISA!E76:H76</f>
        <v>1863</v>
      </c>
      <c r="F80" s="2">
        <f>AtmosphereISA!F76:I76</f>
        <v>-49.55</v>
      </c>
      <c r="G80" s="2">
        <f>AtmosphereISA!G76:J76</f>
        <v>223.59999999999997</v>
      </c>
      <c r="H80" s="3">
        <f t="shared" si="10"/>
        <v>230.75519999999997</v>
      </c>
      <c r="I80" s="4">
        <f t="shared" si="11"/>
        <v>2.0801363123035703E-2</v>
      </c>
      <c r="J80" s="3">
        <f t="shared" si="12"/>
        <v>252.22079999999994</v>
      </c>
      <c r="K80" s="4">
        <f t="shared" si="13"/>
        <v>2.8398454378077607E-2</v>
      </c>
      <c r="L80" s="3">
        <f t="shared" si="14"/>
        <v>338.08319999999998</v>
      </c>
      <c r="M80" s="4">
        <f t="shared" si="15"/>
        <v>7.9185219328540238E-2</v>
      </c>
      <c r="N80" s="3">
        <f t="shared" si="16"/>
        <v>771.41999999999973</v>
      </c>
      <c r="O80" s="4">
        <f t="shared" si="17"/>
        <v>1.4209529161835561</v>
      </c>
      <c r="P80" s="3">
        <f t="shared" si="18"/>
        <v>2414.8799999999992</v>
      </c>
      <c r="Q80" s="10">
        <f t="shared" si="19"/>
        <v>77.125145987074859</v>
      </c>
      <c r="R80" s="8"/>
      <c r="S80" s="8"/>
    </row>
    <row r="81" spans="3:19" x14ac:dyDescent="0.25">
      <c r="C81" s="2">
        <f>AtmosphereISA!C77:F77</f>
        <v>27750</v>
      </c>
      <c r="D81" s="2">
        <f>AtmosphereISA!D77:G77</f>
        <v>27.75</v>
      </c>
      <c r="E81" s="2">
        <f>AtmosphereISA!E77:H77</f>
        <v>1664</v>
      </c>
      <c r="F81" s="2">
        <f>AtmosphereISA!F77:I77</f>
        <v>-48.81</v>
      </c>
      <c r="G81" s="2">
        <f>AtmosphereISA!G77:J77</f>
        <v>224.33999999999997</v>
      </c>
      <c r="H81" s="3">
        <f t="shared" si="10"/>
        <v>231.51887999999997</v>
      </c>
      <c r="I81" s="4">
        <f t="shared" si="11"/>
        <v>1.8579424711074297E-2</v>
      </c>
      <c r="J81" s="3">
        <f t="shared" si="12"/>
        <v>253.05551999999994</v>
      </c>
      <c r="K81" s="4">
        <f t="shared" si="13"/>
        <v>2.5365017759055898E-2</v>
      </c>
      <c r="L81" s="3">
        <f t="shared" si="14"/>
        <v>339.20207999999997</v>
      </c>
      <c r="M81" s="4">
        <f t="shared" si="15"/>
        <v>7.0726894773317742E-2</v>
      </c>
      <c r="N81" s="3">
        <f t="shared" si="16"/>
        <v>773.97299999999973</v>
      </c>
      <c r="O81" s="4">
        <f t="shared" si="17"/>
        <v>1.2691710426889089</v>
      </c>
      <c r="P81" s="3">
        <f t="shared" si="18"/>
        <v>2422.8719999999989</v>
      </c>
      <c r="Q81" s="10">
        <f t="shared" si="19"/>
        <v>68.886872207457102</v>
      </c>
      <c r="R81" s="8"/>
      <c r="S81" s="8"/>
    </row>
    <row r="82" spans="3:19" x14ac:dyDescent="0.25">
      <c r="C82" s="2">
        <f>AtmosphereISA!C78:F78</f>
        <v>28500</v>
      </c>
      <c r="D82" s="2">
        <f>AtmosphereISA!D78:G78</f>
        <v>28.5</v>
      </c>
      <c r="E82" s="2">
        <f>AtmosphereISA!E78:H78</f>
        <v>1485</v>
      </c>
      <c r="F82" s="2">
        <f>AtmosphereISA!F78:I78</f>
        <v>-48.06</v>
      </c>
      <c r="G82" s="2">
        <f>AtmosphereISA!G78:J78</f>
        <v>225.08999999999997</v>
      </c>
      <c r="H82" s="3">
        <f t="shared" si="10"/>
        <v>232.29287999999997</v>
      </c>
      <c r="I82" s="4">
        <f t="shared" si="11"/>
        <v>1.6580796692274836E-2</v>
      </c>
      <c r="J82" s="3">
        <f t="shared" si="12"/>
        <v>253.90151999999995</v>
      </c>
      <c r="K82" s="4">
        <f t="shared" si="13"/>
        <v>2.263644914194592E-2</v>
      </c>
      <c r="L82" s="3">
        <f t="shared" si="14"/>
        <v>340.33607999999998</v>
      </c>
      <c r="M82" s="4">
        <f t="shared" si="15"/>
        <v>6.3118653087966853E-2</v>
      </c>
      <c r="N82" s="3">
        <f t="shared" si="16"/>
        <v>776.56049999999971</v>
      </c>
      <c r="O82" s="4">
        <f t="shared" si="17"/>
        <v>1.132643628841965</v>
      </c>
      <c r="P82" s="3">
        <f t="shared" si="18"/>
        <v>2430.9719999999993</v>
      </c>
      <c r="Q82" s="10">
        <f t="shared" si="19"/>
        <v>61.476565641871261</v>
      </c>
      <c r="R82" s="8"/>
      <c r="S82" s="8"/>
    </row>
    <row r="83" spans="3:19" x14ac:dyDescent="0.25">
      <c r="C83" s="2">
        <f>AtmosphereISA!C79:F79</f>
        <v>29260</v>
      </c>
      <c r="D83" s="2">
        <f>AtmosphereISA!D79:G79</f>
        <v>29.26</v>
      </c>
      <c r="E83" s="2">
        <f>AtmosphereISA!E79:H79</f>
        <v>1324</v>
      </c>
      <c r="F83" s="2">
        <f>AtmosphereISA!F79:I79</f>
        <v>-47.3</v>
      </c>
      <c r="G83" s="2">
        <f>AtmosphereISA!G79:J79</f>
        <v>225.84999999999997</v>
      </c>
      <c r="H83" s="3">
        <f t="shared" si="10"/>
        <v>233.07719999999998</v>
      </c>
      <c r="I83" s="4">
        <f t="shared" si="11"/>
        <v>1.4783148027321136E-2</v>
      </c>
      <c r="J83" s="3">
        <f t="shared" si="12"/>
        <v>254.75879999999995</v>
      </c>
      <c r="K83" s="4">
        <f t="shared" si="13"/>
        <v>2.0182261726556495E-2</v>
      </c>
      <c r="L83" s="3">
        <f t="shared" si="14"/>
        <v>341.48519999999996</v>
      </c>
      <c r="M83" s="4">
        <f t="shared" si="15"/>
        <v>5.6275485985500417E-2</v>
      </c>
      <c r="N83" s="3">
        <f t="shared" si="16"/>
        <v>779.18249999999978</v>
      </c>
      <c r="O83" s="4">
        <f t="shared" si="17"/>
        <v>1.0098452286779538</v>
      </c>
      <c r="P83" s="3">
        <f t="shared" si="18"/>
        <v>2439.1799999999989</v>
      </c>
      <c r="Q83" s="10">
        <f t="shared" si="19"/>
        <v>54.811429568914178</v>
      </c>
      <c r="R83" s="8"/>
      <c r="S83" s="8"/>
    </row>
    <row r="84" spans="3:19" x14ac:dyDescent="0.25">
      <c r="C84" s="2">
        <f>AtmosphereISA!C80:F80</f>
        <v>30030</v>
      </c>
      <c r="D84" s="2">
        <f>AtmosphereISA!D80:G80</f>
        <v>30.03</v>
      </c>
      <c r="E84" s="2">
        <f>AtmosphereISA!E80:H80</f>
        <v>1178</v>
      </c>
      <c r="F84" s="2">
        <f>AtmosphereISA!F80:I80</f>
        <v>-46.53</v>
      </c>
      <c r="G84" s="2">
        <f>AtmosphereISA!G80:J80</f>
        <v>226.61999999999998</v>
      </c>
      <c r="H84" s="3">
        <f t="shared" si="10"/>
        <v>233.87183999999999</v>
      </c>
      <c r="I84" s="4">
        <f t="shared" si="11"/>
        <v>1.3152982157238894E-2</v>
      </c>
      <c r="J84" s="3">
        <f t="shared" si="12"/>
        <v>255.62735999999995</v>
      </c>
      <c r="K84" s="4">
        <f t="shared" si="13"/>
        <v>1.7956725312600869E-2</v>
      </c>
      <c r="L84" s="3">
        <f t="shared" si="14"/>
        <v>342.64943999999997</v>
      </c>
      <c r="M84" s="4">
        <f t="shared" si="15"/>
        <v>5.0069881035437684E-2</v>
      </c>
      <c r="N84" s="3">
        <f t="shared" si="16"/>
        <v>781.83899999999971</v>
      </c>
      <c r="O84" s="4">
        <f t="shared" si="17"/>
        <v>0.89848767324972034</v>
      </c>
      <c r="P84" s="3">
        <f t="shared" si="18"/>
        <v>2447.4959999999992</v>
      </c>
      <c r="Q84" s="10">
        <f t="shared" si="19"/>
        <v>48.767268906481043</v>
      </c>
      <c r="R84" s="8"/>
      <c r="S84" s="8"/>
    </row>
    <row r="85" spans="3:19" x14ac:dyDescent="0.25">
      <c r="C85" s="2">
        <f>AtmosphereISA!C81:F81</f>
        <v>30810</v>
      </c>
      <c r="D85" s="2">
        <f>AtmosphereISA!D81:G81</f>
        <v>30.81</v>
      </c>
      <c r="E85" s="2">
        <f>AtmosphereISA!E81:H81</f>
        <v>1048</v>
      </c>
      <c r="F85" s="2">
        <f>AtmosphereISA!F81:I81</f>
        <v>-45.75</v>
      </c>
      <c r="G85" s="2">
        <f>AtmosphereISA!G81:J81</f>
        <v>227.39999999999998</v>
      </c>
      <c r="H85" s="3">
        <f t="shared" si="10"/>
        <v>234.67679999999999</v>
      </c>
      <c r="I85" s="4">
        <f t="shared" si="11"/>
        <v>1.1701464601686216E-2</v>
      </c>
      <c r="J85" s="3">
        <f t="shared" si="12"/>
        <v>256.50719999999995</v>
      </c>
      <c r="K85" s="4">
        <f t="shared" si="13"/>
        <v>1.5975083300174629E-2</v>
      </c>
      <c r="L85" s="3">
        <f t="shared" si="14"/>
        <v>343.82879999999994</v>
      </c>
      <c r="M85" s="4">
        <f t="shared" si="15"/>
        <v>4.4544342381272237E-2</v>
      </c>
      <c r="N85" s="3">
        <f t="shared" si="16"/>
        <v>784.52999999999975</v>
      </c>
      <c r="O85" s="4">
        <f t="shared" si="17"/>
        <v>0.79933368553964934</v>
      </c>
      <c r="P85" s="3">
        <f t="shared" si="18"/>
        <v>2455.9199999999992</v>
      </c>
      <c r="Q85" s="10">
        <f t="shared" si="19"/>
        <v>43.38548201527346</v>
      </c>
      <c r="R85" s="8"/>
      <c r="S85" s="8"/>
    </row>
    <row r="86" spans="3:19" x14ac:dyDescent="0.25">
      <c r="C86" s="2">
        <f>AtmosphereISA!C82:F82</f>
        <v>31600</v>
      </c>
      <c r="D86" s="2">
        <f>AtmosphereISA!D82:G82</f>
        <v>31.6</v>
      </c>
      <c r="E86" s="2">
        <f>AtmosphereISA!E82:H82</f>
        <v>931</v>
      </c>
      <c r="F86" s="2">
        <f>AtmosphereISA!F82:I82</f>
        <v>-44.96</v>
      </c>
      <c r="G86" s="2">
        <f>AtmosphereISA!G82:J82</f>
        <v>228.18999999999997</v>
      </c>
      <c r="H86" s="3">
        <f t="shared" si="10"/>
        <v>235.49207999999999</v>
      </c>
      <c r="I86" s="4">
        <f t="shared" si="11"/>
        <v>1.0395098801688802E-2</v>
      </c>
      <c r="J86" s="3">
        <f t="shared" si="12"/>
        <v>257.39831999999996</v>
      </c>
      <c r="K86" s="4">
        <f t="shared" si="13"/>
        <v>1.419160548899101E-2</v>
      </c>
      <c r="L86" s="3">
        <f t="shared" si="14"/>
        <v>345.02327999999994</v>
      </c>
      <c r="M86" s="4">
        <f t="shared" si="15"/>
        <v>3.957135759252333E-2</v>
      </c>
      <c r="N86" s="3">
        <f t="shared" si="16"/>
        <v>787.25549999999976</v>
      </c>
      <c r="O86" s="4">
        <f t="shared" si="17"/>
        <v>0.71009509660058534</v>
      </c>
      <c r="P86" s="3">
        <f t="shared" si="18"/>
        <v>2464.4519999999989</v>
      </c>
      <c r="Q86" s="10">
        <f t="shared" si="19"/>
        <v>38.541873813186633</v>
      </c>
      <c r="R86" s="8"/>
      <c r="S86" s="8"/>
    </row>
    <row r="87" spans="3:19" x14ac:dyDescent="0.25">
      <c r="C87" s="2">
        <f>AtmosphereISA!C83:F83</f>
        <v>32400</v>
      </c>
      <c r="D87" s="2">
        <f>AtmosphereISA!D83:G83</f>
        <v>32.4</v>
      </c>
      <c r="E87" s="2">
        <f>AtmosphereISA!E83:H83</f>
        <v>838</v>
      </c>
      <c r="F87" s="2">
        <f>AtmosphereISA!F83:I83</f>
        <v>-43.83</v>
      </c>
      <c r="G87" s="2">
        <f>AtmosphereISA!G83:J83</f>
        <v>229.32</v>
      </c>
      <c r="H87" s="3">
        <f t="shared" si="10"/>
        <v>236.65824000000001</v>
      </c>
      <c r="I87" s="4">
        <f t="shared" si="11"/>
        <v>9.3567054734857331E-3</v>
      </c>
      <c r="J87" s="3">
        <f t="shared" si="12"/>
        <v>258.67295999999999</v>
      </c>
      <c r="K87" s="4">
        <f t="shared" si="13"/>
        <v>1.2773969280101466E-2</v>
      </c>
      <c r="L87" s="3">
        <f t="shared" si="14"/>
        <v>346.73183999999998</v>
      </c>
      <c r="M87" s="4">
        <f t="shared" si="15"/>
        <v>3.561847224762036E-2</v>
      </c>
      <c r="N87" s="3">
        <f t="shared" si="16"/>
        <v>791.15399999999977</v>
      </c>
      <c r="O87" s="4">
        <f t="shared" si="17"/>
        <v>0.63916185923876534</v>
      </c>
      <c r="P87" s="3">
        <f t="shared" si="18"/>
        <v>2476.6559999999995</v>
      </c>
      <c r="Q87" s="10">
        <f t="shared" si="19"/>
        <v>34.691826267938133</v>
      </c>
      <c r="R87" s="8"/>
      <c r="S87" s="8"/>
    </row>
    <row r="88" spans="3:19" x14ac:dyDescent="0.25">
      <c r="C88" s="2">
        <f>AtmosphereISA!C84:F84</f>
        <v>33210</v>
      </c>
      <c r="D88" s="2">
        <f>AtmosphereISA!D84:G84</f>
        <v>33.21</v>
      </c>
      <c r="E88" s="2">
        <f>AtmosphereISA!E84:H84</f>
        <v>743</v>
      </c>
      <c r="F88" s="2">
        <f>AtmosphereISA!F84:I84</f>
        <v>-41.57</v>
      </c>
      <c r="G88" s="2">
        <f>AtmosphereISA!G84:J84</f>
        <v>231.57999999999998</v>
      </c>
      <c r="H88" s="3">
        <f t="shared" si="10"/>
        <v>238.99055999999999</v>
      </c>
      <c r="I88" s="4">
        <f t="shared" si="11"/>
        <v>8.2959811059664674E-3</v>
      </c>
      <c r="J88" s="3">
        <f t="shared" si="12"/>
        <v>261.22223999999994</v>
      </c>
      <c r="K88" s="4">
        <f t="shared" si="13"/>
        <v>1.1325846271020753E-2</v>
      </c>
      <c r="L88" s="3">
        <f t="shared" si="14"/>
        <v>350.14895999999999</v>
      </c>
      <c r="M88" s="4">
        <f t="shared" si="15"/>
        <v>3.1580578615730222E-2</v>
      </c>
      <c r="N88" s="3">
        <f t="shared" si="16"/>
        <v>798.95099999999979</v>
      </c>
      <c r="O88" s="4">
        <f t="shared" si="17"/>
        <v>0.56670317591217512</v>
      </c>
      <c r="P88" s="3">
        <f t="shared" si="18"/>
        <v>2501.0639999999994</v>
      </c>
      <c r="Q88" s="10">
        <f t="shared" si="19"/>
        <v>30.758982001286434</v>
      </c>
      <c r="R88" s="8"/>
      <c r="S88" s="8"/>
    </row>
    <row r="89" spans="3:19" x14ac:dyDescent="0.25">
      <c r="C89" s="2">
        <f>AtmosphereISA!C85:F85</f>
        <v>34030</v>
      </c>
      <c r="D89" s="2">
        <f>AtmosphereISA!D85:G85</f>
        <v>34.03</v>
      </c>
      <c r="E89" s="2">
        <f>AtmosphereISA!E85:H85</f>
        <v>659</v>
      </c>
      <c r="F89" s="2">
        <f>AtmosphereISA!F85:I85</f>
        <v>-39.270000000000003</v>
      </c>
      <c r="G89" s="2">
        <f>AtmosphereISA!G85:J85</f>
        <v>233.87999999999997</v>
      </c>
      <c r="H89" s="3">
        <f t="shared" si="10"/>
        <v>241.36415999999997</v>
      </c>
      <c r="I89" s="4">
        <f t="shared" si="11"/>
        <v>7.3580774546862741E-3</v>
      </c>
      <c r="J89" s="3">
        <f t="shared" si="12"/>
        <v>263.81663999999995</v>
      </c>
      <c r="K89" s="4">
        <f t="shared" si="13"/>
        <v>1.0045400662991489E-2</v>
      </c>
      <c r="L89" s="3">
        <f t="shared" si="14"/>
        <v>353.62655999999993</v>
      </c>
      <c r="M89" s="4">
        <f t="shared" si="15"/>
        <v>2.8010230562269468E-2</v>
      </c>
      <c r="N89" s="3">
        <f t="shared" si="16"/>
        <v>806.88599999999974</v>
      </c>
      <c r="O89" s="4">
        <f t="shared" si="17"/>
        <v>0.50263444539182145</v>
      </c>
      <c r="P89" s="3">
        <f t="shared" si="18"/>
        <v>2525.9039999999991</v>
      </c>
      <c r="Q89" s="10">
        <f t="shared" si="19"/>
        <v>27.281519702352298</v>
      </c>
      <c r="R89" s="8"/>
      <c r="S89" s="8"/>
    </row>
    <row r="90" spans="3:19" x14ac:dyDescent="0.25">
      <c r="C90" s="2">
        <f>AtmosphereISA!C86:F86</f>
        <v>34860</v>
      </c>
      <c r="D90" s="2">
        <f>AtmosphereISA!D86:G86</f>
        <v>34.86</v>
      </c>
      <c r="E90" s="2">
        <f>AtmosphereISA!E86:H86</f>
        <v>584</v>
      </c>
      <c r="F90" s="2">
        <f>AtmosphereISA!F86:I86</f>
        <v>-36.950000000000003</v>
      </c>
      <c r="G90" s="2">
        <f>AtmosphereISA!G86:J86</f>
        <v>236.2</v>
      </c>
      <c r="H90" s="3">
        <f t="shared" si="10"/>
        <v>243.75839999999999</v>
      </c>
      <c r="I90" s="4">
        <f t="shared" si="11"/>
        <v>6.5206634803289592E-3</v>
      </c>
      <c r="J90" s="3">
        <f t="shared" si="12"/>
        <v>266.43359999999996</v>
      </c>
      <c r="K90" s="4">
        <f t="shared" si="13"/>
        <v>8.9021456558225024E-3</v>
      </c>
      <c r="L90" s="3">
        <f t="shared" si="14"/>
        <v>357.13439999999997</v>
      </c>
      <c r="M90" s="4">
        <f t="shared" si="15"/>
        <v>2.482241980025094E-2</v>
      </c>
      <c r="N90" s="3">
        <f t="shared" si="16"/>
        <v>814.88999999999976</v>
      </c>
      <c r="O90" s="4">
        <f t="shared" si="17"/>
        <v>0.44543022171293434</v>
      </c>
      <c r="P90" s="3">
        <f t="shared" si="18"/>
        <v>2550.9599999999991</v>
      </c>
      <c r="Q90" s="10">
        <f t="shared" si="19"/>
        <v>24.176642649732539</v>
      </c>
      <c r="R90" s="8"/>
      <c r="S90" s="8"/>
    </row>
    <row r="91" spans="3:19" x14ac:dyDescent="0.25">
      <c r="C91" s="2">
        <f>AtmosphereISA!C87:F87</f>
        <v>35700</v>
      </c>
      <c r="D91" s="2">
        <f>AtmosphereISA!D87:G87</f>
        <v>35.700000000000003</v>
      </c>
      <c r="E91" s="2">
        <f>AtmosphereISA!E87:H87</f>
        <v>518</v>
      </c>
      <c r="F91" s="2">
        <f>AtmosphereISA!F87:I87</f>
        <v>-34.590000000000003</v>
      </c>
      <c r="G91" s="2">
        <f>AtmosphereISA!G87:J87</f>
        <v>238.55999999999997</v>
      </c>
      <c r="H91" s="3">
        <f t="shared" si="10"/>
        <v>246.19391999999999</v>
      </c>
      <c r="I91" s="4">
        <f t="shared" si="11"/>
        <v>5.7837391828945229E-3</v>
      </c>
      <c r="J91" s="3">
        <f t="shared" si="12"/>
        <v>269.09567999999996</v>
      </c>
      <c r="K91" s="4">
        <f t="shared" si="13"/>
        <v>7.896081249513796E-3</v>
      </c>
      <c r="L91" s="3">
        <f t="shared" si="14"/>
        <v>360.70271999999994</v>
      </c>
      <c r="M91" s="4">
        <f t="shared" si="15"/>
        <v>2.2017146329674633E-2</v>
      </c>
      <c r="N91" s="3">
        <f t="shared" si="16"/>
        <v>823.0319999999997</v>
      </c>
      <c r="O91" s="4">
        <f t="shared" si="17"/>
        <v>0.39509050487551373</v>
      </c>
      <c r="P91" s="3">
        <f t="shared" si="18"/>
        <v>2576.447999999999</v>
      </c>
      <c r="Q91" s="10">
        <f t="shared" si="19"/>
        <v>21.444350843427149</v>
      </c>
      <c r="R91" s="8"/>
      <c r="S91" s="8"/>
    </row>
    <row r="92" spans="3:19" x14ac:dyDescent="0.25">
      <c r="C92" s="2">
        <f>AtmosphereISA!C88:F88</f>
        <v>36550</v>
      </c>
      <c r="D92" s="2">
        <f>AtmosphereISA!D88:G88</f>
        <v>36.549999999999997</v>
      </c>
      <c r="E92" s="2">
        <f>AtmosphereISA!E88:H88</f>
        <v>459</v>
      </c>
      <c r="F92" s="2">
        <f>AtmosphereISA!F88:I88</f>
        <v>-32.21</v>
      </c>
      <c r="G92" s="2">
        <f>AtmosphereISA!G88:J88</f>
        <v>240.93999999999997</v>
      </c>
      <c r="H92" s="3">
        <f t="shared" si="10"/>
        <v>248.65007999999997</v>
      </c>
      <c r="I92" s="4">
        <f t="shared" si="11"/>
        <v>5.1249735230667684E-3</v>
      </c>
      <c r="J92" s="3">
        <f t="shared" si="12"/>
        <v>271.78031999999996</v>
      </c>
      <c r="K92" s="4">
        <f t="shared" si="13"/>
        <v>6.9967206438741924E-3</v>
      </c>
      <c r="L92" s="3">
        <f t="shared" si="14"/>
        <v>364.30127999999996</v>
      </c>
      <c r="M92" s="4">
        <f t="shared" si="15"/>
        <v>1.9509401863553395E-2</v>
      </c>
      <c r="N92" s="3">
        <f t="shared" si="16"/>
        <v>831.24299999999971</v>
      </c>
      <c r="O92" s="4">
        <f t="shared" si="17"/>
        <v>0.35008984891478917</v>
      </c>
      <c r="P92" s="3">
        <f t="shared" si="18"/>
        <v>2602.1519999999991</v>
      </c>
      <c r="Q92" s="10">
        <f t="shared" si="19"/>
        <v>19.001847562032935</v>
      </c>
      <c r="R92" s="8"/>
      <c r="S92" s="8"/>
    </row>
    <row r="93" spans="3:19" x14ac:dyDescent="0.25">
      <c r="C93" s="2">
        <f>AtmosphereISA!C89:F89</f>
        <v>37410</v>
      </c>
      <c r="D93" s="2">
        <f>AtmosphereISA!D89:G89</f>
        <v>37.409999999999997</v>
      </c>
      <c r="E93" s="2">
        <f>AtmosphereISA!E89:H89</f>
        <v>406</v>
      </c>
      <c r="F93" s="2">
        <f>AtmosphereISA!F89:I89</f>
        <v>-29.81</v>
      </c>
      <c r="G93" s="2">
        <f>AtmosphereISA!G89:J89</f>
        <v>243.33999999999997</v>
      </c>
      <c r="H93" s="3">
        <f t="shared" si="10"/>
        <v>251.12687999999997</v>
      </c>
      <c r="I93" s="4">
        <f t="shared" si="11"/>
        <v>4.5332009811875984E-3</v>
      </c>
      <c r="J93" s="3">
        <f t="shared" si="12"/>
        <v>274.48751999999996</v>
      </c>
      <c r="K93" s="4">
        <f t="shared" si="13"/>
        <v>6.1888204388081099E-3</v>
      </c>
      <c r="L93" s="3">
        <f t="shared" si="14"/>
        <v>367.93007999999998</v>
      </c>
      <c r="M93" s="4">
        <f t="shared" si="15"/>
        <v>1.7256682258393632E-2</v>
      </c>
      <c r="N93" s="3">
        <f t="shared" si="16"/>
        <v>839.5229999999998</v>
      </c>
      <c r="O93" s="4">
        <f t="shared" si="17"/>
        <v>0.30966553084837561</v>
      </c>
      <c r="P93" s="3">
        <f t="shared" si="18"/>
        <v>2628.0719999999992</v>
      </c>
      <c r="Q93" s="10">
        <f t="shared" si="19"/>
        <v>16.807734444848307</v>
      </c>
      <c r="R93" s="8"/>
      <c r="S93" s="8"/>
    </row>
    <row r="94" spans="3:19" x14ac:dyDescent="0.25">
      <c r="C94" s="2">
        <f>AtmosphereISA!C90:F90</f>
        <v>38280</v>
      </c>
      <c r="D94" s="2">
        <f>AtmosphereISA!D90:G90</f>
        <v>38.28</v>
      </c>
      <c r="E94" s="2">
        <f>AtmosphereISA!E90:H90</f>
        <v>360</v>
      </c>
      <c r="F94" s="2">
        <f>AtmosphereISA!F90:I90</f>
        <v>-27.37</v>
      </c>
      <c r="G94" s="2">
        <f>AtmosphereISA!G90:J90</f>
        <v>245.77999999999997</v>
      </c>
      <c r="H94" s="3">
        <f t="shared" si="10"/>
        <v>253.64495999999997</v>
      </c>
      <c r="I94" s="4">
        <f t="shared" si="11"/>
        <v>4.0195870769151121E-3</v>
      </c>
      <c r="J94" s="3">
        <f t="shared" si="12"/>
        <v>277.23983999999996</v>
      </c>
      <c r="K94" s="4">
        <f t="shared" si="13"/>
        <v>5.4876240344111319E-3</v>
      </c>
      <c r="L94" s="3">
        <f t="shared" si="14"/>
        <v>371.61935999999997</v>
      </c>
      <c r="M94" s="4">
        <f t="shared" si="15"/>
        <v>1.5301491657688937E-2</v>
      </c>
      <c r="N94" s="3">
        <f t="shared" si="16"/>
        <v>847.94099999999969</v>
      </c>
      <c r="O94" s="4">
        <f t="shared" si="17"/>
        <v>0.27458027365865817</v>
      </c>
      <c r="P94" s="3">
        <f t="shared" si="18"/>
        <v>2654.4239999999991</v>
      </c>
      <c r="Q94" s="10">
        <f t="shared" si="19"/>
        <v>14.903409852574852</v>
      </c>
      <c r="R94" s="8"/>
      <c r="S94" s="8"/>
    </row>
    <row r="95" spans="3:19" x14ac:dyDescent="0.25">
      <c r="C95" s="2">
        <f>AtmosphereISA!C91:F91</f>
        <v>39160</v>
      </c>
      <c r="D95" s="2">
        <f>AtmosphereISA!D91:G91</f>
        <v>39.159999999999997</v>
      </c>
      <c r="E95" s="2">
        <f>AtmosphereISA!E91:H91</f>
        <v>319</v>
      </c>
      <c r="F95" s="2">
        <f>AtmosphereISA!F91:I91</f>
        <v>-24.91</v>
      </c>
      <c r="G95" s="2">
        <f>AtmosphereISA!G91:J91</f>
        <v>248.23999999999998</v>
      </c>
      <c r="H95" s="3">
        <f t="shared" si="10"/>
        <v>256.18367999999998</v>
      </c>
      <c r="I95" s="4">
        <f t="shared" si="11"/>
        <v>3.5618007709331129E-3</v>
      </c>
      <c r="J95" s="3">
        <f t="shared" si="12"/>
        <v>280.01471999999995</v>
      </c>
      <c r="K95" s="4">
        <f t="shared" si="13"/>
        <v>4.8626446304920858E-3</v>
      </c>
      <c r="L95" s="3">
        <f t="shared" si="14"/>
        <v>375.33887999999996</v>
      </c>
      <c r="M95" s="4">
        <f t="shared" si="15"/>
        <v>1.355882177445214E-2</v>
      </c>
      <c r="N95" s="3">
        <f t="shared" si="16"/>
        <v>856.42799999999977</v>
      </c>
      <c r="O95" s="4">
        <f t="shared" si="17"/>
        <v>0.24330863138086653</v>
      </c>
      <c r="P95" s="3">
        <f t="shared" si="18"/>
        <v>2680.9919999999993</v>
      </c>
      <c r="Q95" s="10">
        <f t="shared" si="19"/>
        <v>13.206077063809385</v>
      </c>
      <c r="R95" s="8"/>
      <c r="S95" s="8"/>
    </row>
    <row r="96" spans="3:19" x14ac:dyDescent="0.25">
      <c r="C96" s="2">
        <f>AtmosphereISA!C92:F92</f>
        <v>40050</v>
      </c>
      <c r="D96" s="2">
        <f>AtmosphereISA!D92:G92</f>
        <v>40.049999999999997</v>
      </c>
      <c r="E96" s="2">
        <f>AtmosphereISA!E92:H92</f>
        <v>282</v>
      </c>
      <c r="F96" s="2">
        <f>AtmosphereISA!F92:I92</f>
        <v>-22.41</v>
      </c>
      <c r="G96" s="2">
        <f>AtmosphereISA!G92:J92</f>
        <v>250.73999999999998</v>
      </c>
      <c r="H96" s="3">
        <f t="shared" si="10"/>
        <v>258.76367999999997</v>
      </c>
      <c r="I96" s="4">
        <f t="shared" si="11"/>
        <v>3.1486765435835042E-3</v>
      </c>
      <c r="J96" s="3">
        <f t="shared" si="12"/>
        <v>282.83471999999995</v>
      </c>
      <c r="K96" s="4">
        <f t="shared" si="13"/>
        <v>4.2986388269553866E-3</v>
      </c>
      <c r="L96" s="3">
        <f t="shared" si="14"/>
        <v>379.11887999999999</v>
      </c>
      <c r="M96" s="4">
        <f t="shared" si="15"/>
        <v>1.1986168465189666E-2</v>
      </c>
      <c r="N96" s="3">
        <f t="shared" si="16"/>
        <v>865.05299999999977</v>
      </c>
      <c r="O96" s="4">
        <f t="shared" si="17"/>
        <v>0.21508788103261556</v>
      </c>
      <c r="P96" s="3">
        <f t="shared" si="18"/>
        <v>2707.9919999999993</v>
      </c>
      <c r="Q96" s="10">
        <f t="shared" si="19"/>
        <v>11.674337717850301</v>
      </c>
      <c r="R96" s="8"/>
      <c r="S96" s="8"/>
    </row>
    <row r="97" spans="3:19" x14ac:dyDescent="0.25">
      <c r="C97" s="2">
        <f>AtmosphereISA!C93:F93</f>
        <v>40950</v>
      </c>
      <c r="D97" s="2">
        <f>AtmosphereISA!D93:G93</f>
        <v>40.950000000000003</v>
      </c>
      <c r="E97" s="2">
        <f>AtmosphereISA!E93:H93</f>
        <v>250</v>
      </c>
      <c r="F97" s="2">
        <f>AtmosphereISA!F93:I93</f>
        <v>-19.89</v>
      </c>
      <c r="G97" s="2">
        <f>AtmosphereISA!G93:J93</f>
        <v>253.26</v>
      </c>
      <c r="H97" s="3">
        <f t="shared" si="10"/>
        <v>261.36432000000002</v>
      </c>
      <c r="I97" s="4">
        <f t="shared" si="11"/>
        <v>2.791379914524383E-3</v>
      </c>
      <c r="J97" s="3">
        <f t="shared" si="12"/>
        <v>285.67727999999994</v>
      </c>
      <c r="K97" s="4">
        <f t="shared" si="13"/>
        <v>3.8108500238966188E-3</v>
      </c>
      <c r="L97" s="3">
        <f t="shared" si="14"/>
        <v>382.92912000000001</v>
      </c>
      <c r="M97" s="4">
        <f t="shared" si="15"/>
        <v>1.0626035873395095E-2</v>
      </c>
      <c r="N97" s="3">
        <f t="shared" si="16"/>
        <v>873.74699999999984</v>
      </c>
      <c r="O97" s="4">
        <f t="shared" si="17"/>
        <v>0.19068074559629039</v>
      </c>
      <c r="P97" s="3">
        <f t="shared" si="18"/>
        <v>2735.2079999999992</v>
      </c>
      <c r="Q97" s="10">
        <f t="shared" si="19"/>
        <v>10.349590175399204</v>
      </c>
      <c r="R97" s="8"/>
      <c r="S97" s="8"/>
    </row>
    <row r="98" spans="3:19" x14ac:dyDescent="0.25">
      <c r="C98" s="2">
        <f>AtmosphereISA!C94:F94</f>
        <v>41860</v>
      </c>
      <c r="D98" s="2">
        <f>AtmosphereISA!D94:G94</f>
        <v>41.86</v>
      </c>
      <c r="E98" s="2">
        <f>AtmosphereISA!E94:H94</f>
        <v>221</v>
      </c>
      <c r="F98" s="2">
        <f>AtmosphereISA!F94:I94</f>
        <v>-17.350000000000001</v>
      </c>
      <c r="G98" s="2">
        <f>AtmosphereISA!G94:J94</f>
        <v>255.79999999999998</v>
      </c>
      <c r="H98" s="3">
        <f t="shared" si="10"/>
        <v>263.98559999999998</v>
      </c>
      <c r="I98" s="4">
        <f t="shared" si="11"/>
        <v>2.4675798444395549E-3</v>
      </c>
      <c r="J98" s="3">
        <f t="shared" si="12"/>
        <v>288.54239999999993</v>
      </c>
      <c r="K98" s="4">
        <f t="shared" si="13"/>
        <v>3.3687914211246112E-3</v>
      </c>
      <c r="L98" s="3">
        <f t="shared" si="14"/>
        <v>386.76959999999997</v>
      </c>
      <c r="M98" s="4">
        <f t="shared" si="15"/>
        <v>9.3934157120812625E-3</v>
      </c>
      <c r="N98" s="3">
        <f t="shared" si="16"/>
        <v>882.50999999999976</v>
      </c>
      <c r="O98" s="4">
        <f t="shared" si="17"/>
        <v>0.16856177910712072</v>
      </c>
      <c r="P98" s="3">
        <f t="shared" si="18"/>
        <v>2762.639999999999</v>
      </c>
      <c r="Q98" s="10">
        <f t="shared" si="19"/>
        <v>9.1490377150528968</v>
      </c>
      <c r="R98" s="8"/>
      <c r="S98" s="8"/>
    </row>
    <row r="99" spans="3:19" x14ac:dyDescent="0.25">
      <c r="C99" s="2">
        <f>AtmosphereISA!C95:F95</f>
        <v>42780</v>
      </c>
      <c r="D99" s="2">
        <f>AtmosphereISA!D95:G95</f>
        <v>42.78</v>
      </c>
      <c r="E99" s="2">
        <f>AtmosphereISA!E95:H95</f>
        <v>195</v>
      </c>
      <c r="F99" s="2">
        <f>AtmosphereISA!F95:I95</f>
        <v>-14.77</v>
      </c>
      <c r="G99" s="2">
        <f>AtmosphereISA!G95:J95</f>
        <v>258.38</v>
      </c>
      <c r="H99" s="3">
        <f t="shared" si="10"/>
        <v>266.64816000000002</v>
      </c>
      <c r="I99" s="4">
        <f t="shared" si="11"/>
        <v>2.177276333329019E-3</v>
      </c>
      <c r="J99" s="3">
        <f t="shared" si="12"/>
        <v>291.45263999999997</v>
      </c>
      <c r="K99" s="4">
        <f t="shared" si="13"/>
        <v>2.9724630186393629E-3</v>
      </c>
      <c r="L99" s="3">
        <f t="shared" si="14"/>
        <v>390.67056000000002</v>
      </c>
      <c r="M99" s="4">
        <f t="shared" si="15"/>
        <v>8.288307981248173E-3</v>
      </c>
      <c r="N99" s="3">
        <f t="shared" si="16"/>
        <v>891.41099999999983</v>
      </c>
      <c r="O99" s="4">
        <f t="shared" si="17"/>
        <v>0.1487309815651065</v>
      </c>
      <c r="P99" s="3">
        <f t="shared" si="18"/>
        <v>2790.503999999999</v>
      </c>
      <c r="Q99" s="10">
        <f t="shared" si="19"/>
        <v>8.0726803368113789</v>
      </c>
      <c r="R99" s="8"/>
      <c r="S99" s="8"/>
    </row>
    <row r="100" spans="3:19" x14ac:dyDescent="0.25">
      <c r="C100" s="2">
        <f>AtmosphereISA!C96:F96</f>
        <v>43710</v>
      </c>
      <c r="D100" s="2">
        <f>AtmosphereISA!D96:G96</f>
        <v>43.71</v>
      </c>
      <c r="E100" s="2">
        <f>AtmosphereISA!E96:H96</f>
        <v>173</v>
      </c>
      <c r="F100" s="2">
        <f>AtmosphereISA!F96:I96</f>
        <v>-12.17</v>
      </c>
      <c r="G100" s="2">
        <f>AtmosphereISA!G96:J96</f>
        <v>260.97999999999996</v>
      </c>
      <c r="H100" s="3">
        <f t="shared" si="10"/>
        <v>269.33135999999996</v>
      </c>
      <c r="I100" s="4">
        <f t="shared" si="11"/>
        <v>1.9316349008508733E-3</v>
      </c>
      <c r="J100" s="3">
        <f t="shared" si="12"/>
        <v>294.3854399999999</v>
      </c>
      <c r="K100" s="4">
        <f t="shared" si="13"/>
        <v>2.6371082165364606E-3</v>
      </c>
      <c r="L100" s="3">
        <f t="shared" si="14"/>
        <v>394.60175999999996</v>
      </c>
      <c r="M100" s="4">
        <f t="shared" si="15"/>
        <v>7.3532168243894058E-3</v>
      </c>
      <c r="N100" s="3">
        <f t="shared" si="16"/>
        <v>900.38099999999963</v>
      </c>
      <c r="O100" s="4">
        <f t="shared" si="17"/>
        <v>0.13195107595263295</v>
      </c>
      <c r="P100" s="3">
        <f t="shared" si="18"/>
        <v>2818.5839999999989</v>
      </c>
      <c r="Q100" s="10">
        <f t="shared" si="19"/>
        <v>7.1619164013762484</v>
      </c>
      <c r="R100" s="8"/>
      <c r="S100" s="8"/>
    </row>
    <row r="101" spans="3:19" x14ac:dyDescent="0.25">
      <c r="C101" s="2">
        <f>AtmosphereISA!C97:F97</f>
        <v>44650</v>
      </c>
      <c r="D101" s="2">
        <f>AtmosphereISA!D97:G97</f>
        <v>44.65</v>
      </c>
      <c r="E101" s="2">
        <f>AtmosphereISA!E97:H97</f>
        <v>153</v>
      </c>
      <c r="F101" s="2">
        <f>AtmosphereISA!F97:I97</f>
        <v>-9.5299999999999994</v>
      </c>
      <c r="G101" s="2">
        <f>AtmosphereISA!G97:J97</f>
        <v>263.62</v>
      </c>
      <c r="H101" s="3">
        <f t="shared" si="10"/>
        <v>272.05583999999999</v>
      </c>
      <c r="I101" s="4">
        <f t="shared" si="11"/>
        <v>1.7083245076889228E-3</v>
      </c>
      <c r="J101" s="3">
        <f t="shared" si="12"/>
        <v>297.36336</v>
      </c>
      <c r="K101" s="4">
        <f t="shared" si="13"/>
        <v>2.3322402146247309E-3</v>
      </c>
      <c r="L101" s="3">
        <f t="shared" si="14"/>
        <v>398.59343999999999</v>
      </c>
      <c r="M101" s="4">
        <f t="shared" si="15"/>
        <v>6.5031339545177976E-3</v>
      </c>
      <c r="N101" s="3">
        <f t="shared" si="16"/>
        <v>909.48899999999981</v>
      </c>
      <c r="O101" s="4">
        <f t="shared" si="17"/>
        <v>0.11669661630492972</v>
      </c>
      <c r="P101" s="3">
        <f t="shared" si="18"/>
        <v>2847.0959999999991</v>
      </c>
      <c r="Q101" s="10">
        <f t="shared" si="19"/>
        <v>6.333949187344313</v>
      </c>
      <c r="R101" s="8"/>
      <c r="S101" s="8"/>
    </row>
    <row r="102" spans="3:19" x14ac:dyDescent="0.25">
      <c r="C102" s="2">
        <f>AtmosphereISA!C98:F98</f>
        <v>45600</v>
      </c>
      <c r="D102" s="2">
        <f>AtmosphereISA!D98:G98</f>
        <v>45.6</v>
      </c>
      <c r="E102" s="2">
        <f>AtmosphereISA!E98:H98</f>
        <v>135</v>
      </c>
      <c r="F102" s="2">
        <f>AtmosphereISA!F98:I98</f>
        <v>-6.87</v>
      </c>
      <c r="G102" s="2">
        <f>AtmosphereISA!G98:J98</f>
        <v>266.27999999999997</v>
      </c>
      <c r="H102" s="3">
        <f t="shared" si="10"/>
        <v>274.80095999999998</v>
      </c>
      <c r="I102" s="4">
        <f t="shared" si="11"/>
        <v>1.5073451538431669E-3</v>
      </c>
      <c r="J102" s="3">
        <f t="shared" si="12"/>
        <v>300.36383999999993</v>
      </c>
      <c r="K102" s="4">
        <f t="shared" si="13"/>
        <v>2.0578590129041742E-3</v>
      </c>
      <c r="L102" s="3">
        <f t="shared" si="14"/>
        <v>402.61535999999995</v>
      </c>
      <c r="M102" s="4">
        <f t="shared" si="15"/>
        <v>5.738059371633351E-3</v>
      </c>
      <c r="N102" s="3">
        <f t="shared" si="16"/>
        <v>918.66599999999971</v>
      </c>
      <c r="O102" s="4">
        <f t="shared" si="17"/>
        <v>0.10296760262199681</v>
      </c>
      <c r="P102" s="3">
        <f t="shared" si="18"/>
        <v>2875.8239999999992</v>
      </c>
      <c r="Q102" s="10">
        <f t="shared" si="19"/>
        <v>5.58877869471557</v>
      </c>
      <c r="R102" s="8"/>
      <c r="S102" s="8"/>
    </row>
    <row r="103" spans="3:19" x14ac:dyDescent="0.25">
      <c r="C103" s="2">
        <f>AtmosphereISA!C99:F99</f>
        <v>46560</v>
      </c>
      <c r="D103" s="2">
        <f>AtmosphereISA!D99:G99</f>
        <v>46.56</v>
      </c>
      <c r="E103" s="2">
        <f>AtmosphereISA!E99:H99</f>
        <v>120</v>
      </c>
      <c r="F103" s="2">
        <f>AtmosphereISA!F99:I99</f>
        <v>-4.1900000000000004</v>
      </c>
      <c r="G103" s="2">
        <f>AtmosphereISA!G99:J99</f>
        <v>268.95999999999998</v>
      </c>
      <c r="H103" s="3">
        <f t="shared" si="10"/>
        <v>277.56671999999998</v>
      </c>
      <c r="I103" s="4">
        <f t="shared" si="11"/>
        <v>1.339862358971704E-3</v>
      </c>
      <c r="J103" s="3">
        <f t="shared" si="12"/>
        <v>303.38687999999996</v>
      </c>
      <c r="K103" s="4">
        <f t="shared" si="13"/>
        <v>1.8292080114703771E-3</v>
      </c>
      <c r="L103" s="3">
        <f t="shared" si="14"/>
        <v>406.66751999999997</v>
      </c>
      <c r="M103" s="4">
        <f t="shared" si="15"/>
        <v>5.1004972192296456E-3</v>
      </c>
      <c r="N103" s="3">
        <f t="shared" si="16"/>
        <v>927.91199999999969</v>
      </c>
      <c r="O103" s="4">
        <f t="shared" si="17"/>
        <v>9.152675788621939E-2</v>
      </c>
      <c r="P103" s="3">
        <f t="shared" si="18"/>
        <v>2904.7679999999991</v>
      </c>
      <c r="Q103" s="10">
        <f t="shared" si="19"/>
        <v>4.9678032841916169</v>
      </c>
      <c r="R103" s="8"/>
      <c r="S103" s="8"/>
    </row>
    <row r="104" spans="3:19" x14ac:dyDescent="0.25">
      <c r="C104" s="2">
        <f>AtmosphereISA!C100:F100</f>
        <v>47530</v>
      </c>
      <c r="D104" s="2">
        <f>AtmosphereISA!D100:G100</f>
        <v>47.53</v>
      </c>
      <c r="E104" s="2">
        <f>AtmosphereISA!E100:H100</f>
        <v>108</v>
      </c>
      <c r="F104" s="2">
        <f>AtmosphereISA!F100:I100</f>
        <v>-2.5</v>
      </c>
      <c r="G104" s="2">
        <f>AtmosphereISA!G100:J100</f>
        <v>270.64999999999998</v>
      </c>
      <c r="H104" s="3">
        <f t="shared" si="10"/>
        <v>279.31079999999997</v>
      </c>
      <c r="I104" s="4">
        <f t="shared" si="11"/>
        <v>1.2058761230745335E-3</v>
      </c>
      <c r="J104" s="3">
        <f t="shared" si="12"/>
        <v>305.29319999999996</v>
      </c>
      <c r="K104" s="4">
        <f t="shared" si="13"/>
        <v>1.6462872103233394E-3</v>
      </c>
      <c r="L104" s="3">
        <f t="shared" si="14"/>
        <v>409.22279999999995</v>
      </c>
      <c r="M104" s="4">
        <f t="shared" si="15"/>
        <v>4.5904474973066803E-3</v>
      </c>
      <c r="N104" s="3">
        <f t="shared" si="16"/>
        <v>933.74249999999972</v>
      </c>
      <c r="O104" s="4">
        <f t="shared" si="17"/>
        <v>8.2374082097597459E-2</v>
      </c>
      <c r="P104" s="3">
        <f t="shared" si="18"/>
        <v>2923.0199999999991</v>
      </c>
      <c r="Q104" s="10">
        <f t="shared" si="19"/>
        <v>4.4710229557724563</v>
      </c>
      <c r="R104" s="8"/>
      <c r="S104" s="8"/>
    </row>
    <row r="105" spans="3:19" x14ac:dyDescent="0.25">
      <c r="C105" s="2">
        <f>AtmosphereISA!C101:F101</f>
        <v>48510</v>
      </c>
      <c r="D105" s="2">
        <f>AtmosphereISA!D101:G101</f>
        <v>48.51</v>
      </c>
      <c r="E105" s="2">
        <f>AtmosphereISA!E101:H101</f>
        <v>96</v>
      </c>
      <c r="F105" s="2">
        <f>AtmosphereISA!F101:I101</f>
        <v>-2.5</v>
      </c>
      <c r="G105" s="2">
        <f>AtmosphereISA!G101:J101</f>
        <v>270.64999999999998</v>
      </c>
      <c r="H105" s="3">
        <f t="shared" si="10"/>
        <v>279.31079999999997</v>
      </c>
      <c r="I105" s="4">
        <f t="shared" si="11"/>
        <v>1.0718898871773632E-3</v>
      </c>
      <c r="J105" s="3">
        <f t="shared" si="12"/>
        <v>305.29319999999996</v>
      </c>
      <c r="K105" s="4">
        <f t="shared" si="13"/>
        <v>1.4633664091763018E-3</v>
      </c>
      <c r="L105" s="3">
        <f t="shared" si="14"/>
        <v>409.22279999999995</v>
      </c>
      <c r="M105" s="4">
        <f t="shared" si="15"/>
        <v>4.0803977753837159E-3</v>
      </c>
      <c r="N105" s="3">
        <f t="shared" si="16"/>
        <v>933.74249999999972</v>
      </c>
      <c r="O105" s="4">
        <f t="shared" si="17"/>
        <v>7.3221406308975515E-2</v>
      </c>
      <c r="P105" s="3">
        <f t="shared" si="18"/>
        <v>2923.0199999999991</v>
      </c>
      <c r="Q105" s="10">
        <f t="shared" si="19"/>
        <v>3.974242627353294</v>
      </c>
      <c r="R105" s="8"/>
      <c r="S105" s="8"/>
    </row>
    <row r="106" spans="3:19" x14ac:dyDescent="0.25">
      <c r="C106" s="2">
        <f>AtmosphereISA!C102:F102</f>
        <v>49500</v>
      </c>
      <c r="D106" s="2">
        <f>AtmosphereISA!D102:G102</f>
        <v>49.5</v>
      </c>
      <c r="E106" s="2">
        <f>AtmosphereISA!E102:H102</f>
        <v>85</v>
      </c>
      <c r="F106" s="2">
        <f>AtmosphereISA!F102:I102</f>
        <v>-2.5</v>
      </c>
      <c r="G106" s="2">
        <f>AtmosphereISA!G102:J102</f>
        <v>270.64999999999998</v>
      </c>
      <c r="H106" s="3">
        <f t="shared" si="10"/>
        <v>279.31079999999997</v>
      </c>
      <c r="I106" s="4">
        <f t="shared" si="11"/>
        <v>9.4906917093829041E-4</v>
      </c>
      <c r="J106" s="3">
        <f t="shared" si="12"/>
        <v>305.29319999999996</v>
      </c>
      <c r="K106" s="4">
        <f t="shared" si="13"/>
        <v>1.2956890081248504E-3</v>
      </c>
      <c r="L106" s="3">
        <f t="shared" si="14"/>
        <v>409.22279999999995</v>
      </c>
      <c r="M106" s="4">
        <f t="shared" si="15"/>
        <v>3.6128521969543323E-3</v>
      </c>
      <c r="N106" s="3">
        <f t="shared" si="16"/>
        <v>933.74249999999972</v>
      </c>
      <c r="O106" s="4">
        <f t="shared" si="17"/>
        <v>6.4831453502738737E-2</v>
      </c>
      <c r="P106" s="3">
        <f t="shared" si="18"/>
        <v>2923.0199999999991</v>
      </c>
      <c r="Q106" s="10">
        <f t="shared" si="19"/>
        <v>3.5188606596357288</v>
      </c>
      <c r="R106" s="8"/>
      <c r="S106" s="8"/>
    </row>
    <row r="107" spans="3:19" x14ac:dyDescent="0.25">
      <c r="C107" s="2">
        <f>AtmosphereISA!C103:F103</f>
        <v>50500</v>
      </c>
      <c r="D107" s="2">
        <f>AtmosphereISA!D103:G103</f>
        <v>50.5</v>
      </c>
      <c r="E107" s="2">
        <f>AtmosphereISA!E103:H103</f>
        <v>75</v>
      </c>
      <c r="F107" s="2">
        <f>AtmosphereISA!F103:I103</f>
        <v>-2.5</v>
      </c>
      <c r="G107" s="2">
        <f>AtmosphereISA!G103:J103</f>
        <v>270.64999999999998</v>
      </c>
      <c r="H107" s="3">
        <f t="shared" si="10"/>
        <v>279.31079999999997</v>
      </c>
      <c r="I107" s="4">
        <f t="shared" si="11"/>
        <v>8.3741397435731495E-4</v>
      </c>
      <c r="J107" s="3">
        <f t="shared" si="12"/>
        <v>305.29319999999996</v>
      </c>
      <c r="K107" s="4">
        <f t="shared" si="13"/>
        <v>1.1432550071689858E-3</v>
      </c>
      <c r="L107" s="3">
        <f t="shared" si="14"/>
        <v>409.22279999999995</v>
      </c>
      <c r="M107" s="4">
        <f t="shared" si="15"/>
        <v>3.1878107620185283E-3</v>
      </c>
      <c r="N107" s="3">
        <f t="shared" si="16"/>
        <v>933.74249999999972</v>
      </c>
      <c r="O107" s="4">
        <f t="shared" si="17"/>
        <v>5.7204223678887119E-2</v>
      </c>
      <c r="P107" s="3">
        <f t="shared" si="18"/>
        <v>2923.0199999999991</v>
      </c>
      <c r="Q107" s="10">
        <f t="shared" si="19"/>
        <v>3.1048770526197611</v>
      </c>
      <c r="R107" s="8"/>
      <c r="S107" s="8"/>
    </row>
    <row r="108" spans="3:19" x14ac:dyDescent="0.25">
      <c r="C108" s="2">
        <f>AtmosphereISA!C104:F104</f>
        <v>51510</v>
      </c>
      <c r="D108" s="2">
        <f>AtmosphereISA!D104:G104</f>
        <v>51.51</v>
      </c>
      <c r="E108" s="2">
        <f>AtmosphereISA!E104:H104</f>
        <v>66</v>
      </c>
      <c r="F108" s="2">
        <f>AtmosphereISA!F104:I104</f>
        <v>-2.5</v>
      </c>
      <c r="G108" s="2">
        <f>AtmosphereISA!G104:J104</f>
        <v>270.64999999999998</v>
      </c>
      <c r="H108" s="3">
        <f t="shared" si="10"/>
        <v>279.31079999999997</v>
      </c>
      <c r="I108" s="4">
        <f t="shared" si="11"/>
        <v>7.3692429743443724E-4</v>
      </c>
      <c r="J108" s="3">
        <f t="shared" si="12"/>
        <v>305.29319999999996</v>
      </c>
      <c r="K108" s="4">
        <f t="shared" si="13"/>
        <v>1.0060644063087075E-3</v>
      </c>
      <c r="L108" s="3">
        <f t="shared" si="14"/>
        <v>409.22279999999995</v>
      </c>
      <c r="M108" s="4">
        <f t="shared" si="15"/>
        <v>2.805273470576305E-3</v>
      </c>
      <c r="N108" s="3">
        <f t="shared" si="16"/>
        <v>933.74249999999972</v>
      </c>
      <c r="O108" s="4">
        <f t="shared" si="17"/>
        <v>5.0339716837420667E-2</v>
      </c>
      <c r="P108" s="3">
        <f t="shared" si="18"/>
        <v>2923.0199999999991</v>
      </c>
      <c r="Q108" s="10">
        <f t="shared" si="19"/>
        <v>2.7322918063053896</v>
      </c>
      <c r="R108" s="8"/>
      <c r="S108" s="8"/>
    </row>
    <row r="109" spans="3:19" x14ac:dyDescent="0.25">
      <c r="C109" s="2">
        <f>AtmosphereISA!C105:F105</f>
        <v>52530</v>
      </c>
      <c r="D109" s="2">
        <f>AtmosphereISA!D105:G105</f>
        <v>52.53</v>
      </c>
      <c r="E109" s="2">
        <f>AtmosphereISA!E105:H105</f>
        <v>58</v>
      </c>
      <c r="F109" s="2">
        <f>AtmosphereISA!F105:I105</f>
        <v>-2.7</v>
      </c>
      <c r="G109" s="2">
        <f>AtmosphereISA!G105:J105</f>
        <v>270.45</v>
      </c>
      <c r="H109" s="3">
        <f t="shared" si="10"/>
        <v>279.1044</v>
      </c>
      <c r="I109" s="4">
        <f t="shared" si="11"/>
        <v>6.4760014016965693E-4</v>
      </c>
      <c r="J109" s="3">
        <f t="shared" si="12"/>
        <v>305.06759999999997</v>
      </c>
      <c r="K109" s="4">
        <f t="shared" si="13"/>
        <v>8.8411720554401564E-4</v>
      </c>
      <c r="L109" s="3">
        <f t="shared" si="14"/>
        <v>408.92039999999997</v>
      </c>
      <c r="M109" s="4">
        <f t="shared" si="15"/>
        <v>2.4652403226276621E-3</v>
      </c>
      <c r="N109" s="3">
        <f t="shared" si="16"/>
        <v>933.05249999999978</v>
      </c>
      <c r="O109" s="4">
        <f t="shared" si="17"/>
        <v>4.4237932978339368E-2</v>
      </c>
      <c r="P109" s="3">
        <f t="shared" si="18"/>
        <v>2920.8599999999992</v>
      </c>
      <c r="Q109" s="10">
        <f t="shared" si="19"/>
        <v>2.4011049206926152</v>
      </c>
      <c r="R109" s="8"/>
      <c r="S109" s="8"/>
    </row>
    <row r="110" spans="3:19" x14ac:dyDescent="0.25">
      <c r="C110" s="2">
        <f>AtmosphereISA!C106:F106</f>
        <v>53560</v>
      </c>
      <c r="D110" s="2">
        <f>AtmosphereISA!D106:G106</f>
        <v>53.56</v>
      </c>
      <c r="E110" s="2">
        <f>AtmosphereISA!E106:H106</f>
        <v>51</v>
      </c>
      <c r="F110" s="2">
        <f>AtmosphereISA!F106:I106</f>
        <v>-4.76</v>
      </c>
      <c r="G110" s="2">
        <f>AtmosphereISA!G106:J106</f>
        <v>268.39</v>
      </c>
      <c r="H110" s="3">
        <f t="shared" si="10"/>
        <v>276.97847999999999</v>
      </c>
      <c r="I110" s="4">
        <f t="shared" si="11"/>
        <v>5.6944150256297416E-4</v>
      </c>
      <c r="J110" s="3">
        <f t="shared" si="12"/>
        <v>302.74391999999995</v>
      </c>
      <c r="K110" s="4">
        <f t="shared" si="13"/>
        <v>7.7741340487491031E-4</v>
      </c>
      <c r="L110" s="3">
        <f t="shared" si="14"/>
        <v>405.80568</v>
      </c>
      <c r="M110" s="4">
        <f t="shared" si="15"/>
        <v>2.1677113181725991E-3</v>
      </c>
      <c r="N110" s="3">
        <f t="shared" si="16"/>
        <v>925.94549999999981</v>
      </c>
      <c r="O110" s="4">
        <f t="shared" si="17"/>
        <v>3.8898872101643243E-2</v>
      </c>
      <c r="P110" s="3">
        <f t="shared" si="18"/>
        <v>2898.6119999999992</v>
      </c>
      <c r="Q110" s="10">
        <f t="shared" si="19"/>
        <v>2.1113163957814374</v>
      </c>
      <c r="R110" s="8"/>
      <c r="S110" s="8"/>
    </row>
    <row r="111" spans="3:19" x14ac:dyDescent="0.25">
      <c r="C111" s="2">
        <f>AtmosphereISA!C107:F107</f>
        <v>54600</v>
      </c>
      <c r="D111" s="2">
        <f>AtmosphereISA!D107:G107</f>
        <v>54.6</v>
      </c>
      <c r="E111" s="2">
        <f>AtmosphereISA!E107:H107</f>
        <v>45</v>
      </c>
      <c r="F111" s="2">
        <f>AtmosphereISA!F107:I107</f>
        <v>-6.84</v>
      </c>
      <c r="G111" s="2">
        <f>AtmosphereISA!G107:J107</f>
        <v>266.31</v>
      </c>
      <c r="H111" s="3">
        <f t="shared" si="10"/>
        <v>274.83192000000003</v>
      </c>
      <c r="I111" s="4">
        <f t="shared" si="11"/>
        <v>5.0244838461438901E-4</v>
      </c>
      <c r="J111" s="3">
        <f t="shared" si="12"/>
        <v>300.39767999999998</v>
      </c>
      <c r="K111" s="4">
        <f t="shared" si="13"/>
        <v>6.8595300430139149E-4</v>
      </c>
      <c r="L111" s="3">
        <f t="shared" si="14"/>
        <v>402.66072000000003</v>
      </c>
      <c r="M111" s="4">
        <f t="shared" si="15"/>
        <v>1.9126864572111171E-3</v>
      </c>
      <c r="N111" s="3">
        <f t="shared" si="16"/>
        <v>918.76949999999977</v>
      </c>
      <c r="O111" s="4">
        <f t="shared" si="17"/>
        <v>3.4322534207332271E-2</v>
      </c>
      <c r="P111" s="3">
        <f t="shared" si="18"/>
        <v>2876.1479999999992</v>
      </c>
      <c r="Q111" s="10">
        <f t="shared" si="19"/>
        <v>1.8629262315718564</v>
      </c>
      <c r="R111" s="8"/>
      <c r="S111" s="8"/>
    </row>
    <row r="112" spans="3:19" x14ac:dyDescent="0.25">
      <c r="C112" s="2">
        <f>AtmosphereISA!C108:F108</f>
        <v>55650</v>
      </c>
      <c r="D112" s="2">
        <f>AtmosphereISA!D108:G108</f>
        <v>55.65</v>
      </c>
      <c r="E112" s="2">
        <f>AtmosphereISA!E108:H108</f>
        <v>39</v>
      </c>
      <c r="F112" s="2">
        <f>AtmosphereISA!F108:I108</f>
        <v>-8.94</v>
      </c>
      <c r="G112" s="2">
        <f>AtmosphereISA!G108:J108</f>
        <v>264.20999999999998</v>
      </c>
      <c r="H112" s="3">
        <f t="shared" si="10"/>
        <v>272.66471999999999</v>
      </c>
      <c r="I112" s="4">
        <f t="shared" si="11"/>
        <v>4.3545526666580382E-4</v>
      </c>
      <c r="J112" s="3">
        <f t="shared" si="12"/>
        <v>298.02887999999996</v>
      </c>
      <c r="K112" s="4">
        <f t="shared" si="13"/>
        <v>5.9449260372787256E-4</v>
      </c>
      <c r="L112" s="3">
        <f t="shared" si="14"/>
        <v>399.48551999999995</v>
      </c>
      <c r="M112" s="4">
        <f t="shared" si="15"/>
        <v>1.6576615962496347E-3</v>
      </c>
      <c r="N112" s="3">
        <f t="shared" si="16"/>
        <v>911.52449999999976</v>
      </c>
      <c r="O112" s="4">
        <f t="shared" si="17"/>
        <v>2.9746196313021302E-2</v>
      </c>
      <c r="P112" s="3">
        <f t="shared" si="18"/>
        <v>2853.4679999999989</v>
      </c>
      <c r="Q112" s="10">
        <f t="shared" si="19"/>
        <v>1.6145360673622757</v>
      </c>
      <c r="R112" s="8"/>
      <c r="S112" s="8"/>
    </row>
    <row r="113" spans="3:19" x14ac:dyDescent="0.25">
      <c r="C113" s="2">
        <f>AtmosphereISA!C109:F109</f>
        <v>56710</v>
      </c>
      <c r="D113" s="2">
        <f>AtmosphereISA!D109:G109</f>
        <v>56.71</v>
      </c>
      <c r="E113" s="2">
        <f>AtmosphereISA!E109:H109</f>
        <v>34</v>
      </c>
      <c r="F113" s="2">
        <f>AtmosphereISA!F109:I109</f>
        <v>-11.06</v>
      </c>
      <c r="G113" s="2">
        <f>AtmosphereISA!G109:J109</f>
        <v>262.08999999999997</v>
      </c>
      <c r="H113" s="3">
        <f t="shared" si="10"/>
        <v>270.47687999999999</v>
      </c>
      <c r="I113" s="4">
        <f t="shared" si="11"/>
        <v>3.796276683753162E-4</v>
      </c>
      <c r="J113" s="3">
        <f t="shared" si="12"/>
        <v>295.63751999999994</v>
      </c>
      <c r="K113" s="4">
        <f t="shared" si="13"/>
        <v>5.1827560324994024E-4</v>
      </c>
      <c r="L113" s="3">
        <f t="shared" si="14"/>
        <v>396.28007999999994</v>
      </c>
      <c r="M113" s="4">
        <f t="shared" si="15"/>
        <v>1.4451408787817329E-3</v>
      </c>
      <c r="N113" s="3">
        <f t="shared" si="16"/>
        <v>904.21049999999968</v>
      </c>
      <c r="O113" s="4">
        <f t="shared" si="17"/>
        <v>2.5932581401095493E-2</v>
      </c>
      <c r="P113" s="3">
        <f t="shared" si="18"/>
        <v>2830.5719999999992</v>
      </c>
      <c r="Q113" s="10">
        <f t="shared" si="19"/>
        <v>1.4075442638542917</v>
      </c>
      <c r="R113" s="8"/>
      <c r="S113" s="8"/>
    </row>
    <row r="114" spans="3:19" x14ac:dyDescent="0.25">
      <c r="C114" s="2">
        <f>AtmosphereISA!C110:F110</f>
        <v>57780</v>
      </c>
      <c r="D114" s="2">
        <f>AtmosphereISA!D110:G110</f>
        <v>57.78</v>
      </c>
      <c r="E114" s="2">
        <f>AtmosphereISA!E110:H110</f>
        <v>30</v>
      </c>
      <c r="F114" s="2">
        <f>AtmosphereISA!F110:I110</f>
        <v>-13.2</v>
      </c>
      <c r="G114" s="2">
        <f>AtmosphereISA!G110:J110</f>
        <v>259.95</v>
      </c>
      <c r="H114" s="3">
        <f t="shared" si="10"/>
        <v>268.26839999999999</v>
      </c>
      <c r="I114" s="4">
        <f t="shared" si="11"/>
        <v>3.3496558974292599E-4</v>
      </c>
      <c r="J114" s="3">
        <f t="shared" si="12"/>
        <v>293.22359999999998</v>
      </c>
      <c r="K114" s="4">
        <f t="shared" si="13"/>
        <v>4.5730200286759427E-4</v>
      </c>
      <c r="L114" s="3">
        <f t="shared" si="14"/>
        <v>393.0444</v>
      </c>
      <c r="M114" s="4">
        <f t="shared" si="15"/>
        <v>1.2751243048074114E-3</v>
      </c>
      <c r="N114" s="3">
        <f t="shared" si="16"/>
        <v>896.82749999999976</v>
      </c>
      <c r="O114" s="4">
        <f t="shared" si="17"/>
        <v>2.2881689471554847E-2</v>
      </c>
      <c r="P114" s="3">
        <f t="shared" si="18"/>
        <v>2807.4599999999991</v>
      </c>
      <c r="Q114" s="10">
        <f t="shared" si="19"/>
        <v>1.2419508210479042</v>
      </c>
      <c r="R114" s="8"/>
      <c r="S114" s="8"/>
    </row>
    <row r="115" spans="3:19" x14ac:dyDescent="0.25">
      <c r="C115" s="2">
        <f>AtmosphereISA!C111:F111</f>
        <v>58860</v>
      </c>
      <c r="D115" s="2">
        <f>AtmosphereISA!D111:G111</f>
        <v>58.86</v>
      </c>
      <c r="E115" s="2">
        <f>AtmosphereISA!E111:H111</f>
        <v>26</v>
      </c>
      <c r="F115" s="2">
        <f>AtmosphereISA!F111:I111</f>
        <v>-15.36</v>
      </c>
      <c r="G115" s="2">
        <f>AtmosphereISA!G111:J111</f>
        <v>257.78999999999996</v>
      </c>
      <c r="H115" s="3">
        <f t="shared" si="10"/>
        <v>266.03927999999996</v>
      </c>
      <c r="I115" s="4">
        <f t="shared" si="11"/>
        <v>2.903035111105359E-4</v>
      </c>
      <c r="J115" s="3">
        <f t="shared" si="12"/>
        <v>290.78711999999996</v>
      </c>
      <c r="K115" s="4">
        <f t="shared" si="13"/>
        <v>3.9632840248524841E-4</v>
      </c>
      <c r="L115" s="3">
        <f t="shared" si="14"/>
        <v>389.77847999999994</v>
      </c>
      <c r="M115" s="4">
        <f t="shared" si="15"/>
        <v>1.1051077308330897E-3</v>
      </c>
      <c r="N115" s="3">
        <f t="shared" si="16"/>
        <v>889.37549999999965</v>
      </c>
      <c r="O115" s="4">
        <f t="shared" si="17"/>
        <v>1.9830797542014202E-2</v>
      </c>
      <c r="P115" s="3">
        <f t="shared" si="18"/>
        <v>2784.1319999999987</v>
      </c>
      <c r="Q115" s="10">
        <f t="shared" si="19"/>
        <v>1.0763573782415172</v>
      </c>
      <c r="R115" s="8"/>
      <c r="S115" s="8"/>
    </row>
    <row r="116" spans="3:19" x14ac:dyDescent="0.25">
      <c r="C116" s="2">
        <f>AtmosphereISA!C112:F112</f>
        <v>59950</v>
      </c>
      <c r="D116" s="2">
        <f>AtmosphereISA!D112:G112</f>
        <v>59.95</v>
      </c>
      <c r="E116" s="2">
        <f>AtmosphereISA!E112:H112</f>
        <v>22</v>
      </c>
      <c r="F116" s="2">
        <f>AtmosphereISA!F112:I112</f>
        <v>-17.54</v>
      </c>
      <c r="G116" s="2">
        <f>AtmosphereISA!G112:J112</f>
        <v>255.60999999999999</v>
      </c>
      <c r="H116" s="3">
        <f t="shared" si="10"/>
        <v>263.78951999999998</v>
      </c>
      <c r="I116" s="4">
        <f t="shared" si="11"/>
        <v>2.4564143247814575E-4</v>
      </c>
      <c r="J116" s="3">
        <f t="shared" si="12"/>
        <v>288.32807999999994</v>
      </c>
      <c r="K116" s="4">
        <f t="shared" si="13"/>
        <v>3.3535480210290244E-4</v>
      </c>
      <c r="L116" s="3">
        <f t="shared" si="14"/>
        <v>386.48231999999996</v>
      </c>
      <c r="M116" s="4">
        <f t="shared" si="15"/>
        <v>9.3509115685876836E-4</v>
      </c>
      <c r="N116" s="3">
        <f t="shared" si="16"/>
        <v>881.8544999999998</v>
      </c>
      <c r="O116" s="4">
        <f t="shared" si="17"/>
        <v>1.6779905612473552E-2</v>
      </c>
      <c r="P116" s="3">
        <f t="shared" si="18"/>
        <v>2760.5879999999993</v>
      </c>
      <c r="Q116" s="10">
        <f t="shared" si="19"/>
        <v>0.91076393543512979</v>
      </c>
      <c r="R116" s="8"/>
      <c r="S116" s="8"/>
    </row>
    <row r="117" spans="3:19" x14ac:dyDescent="0.25">
      <c r="C117" s="2">
        <f>AtmosphereISA!C113:F113</f>
        <v>61050</v>
      </c>
      <c r="D117" s="2">
        <f>AtmosphereISA!D113:G113</f>
        <v>61.05</v>
      </c>
      <c r="E117" s="2">
        <f>AtmosphereISA!E113:H113</f>
        <v>19</v>
      </c>
      <c r="F117" s="2">
        <f>AtmosphereISA!F113:I113</f>
        <v>-19.739999999999998</v>
      </c>
      <c r="G117" s="2">
        <f>AtmosphereISA!G113:J113</f>
        <v>253.40999999999997</v>
      </c>
      <c r="H117" s="3">
        <f t="shared" si="10"/>
        <v>261.51911999999999</v>
      </c>
      <c r="I117" s="4">
        <f t="shared" si="11"/>
        <v>2.1214487350385312E-4</v>
      </c>
      <c r="J117" s="3">
        <f t="shared" si="12"/>
        <v>285.84647999999993</v>
      </c>
      <c r="K117" s="4">
        <f t="shared" si="13"/>
        <v>2.8962460181614303E-4</v>
      </c>
      <c r="L117" s="3">
        <f t="shared" si="14"/>
        <v>383.15591999999998</v>
      </c>
      <c r="M117" s="4">
        <f t="shared" si="15"/>
        <v>8.0757872637802716E-4</v>
      </c>
      <c r="N117" s="3">
        <f t="shared" si="16"/>
        <v>874.26449999999966</v>
      </c>
      <c r="O117" s="4">
        <f t="shared" si="17"/>
        <v>1.449173666531807E-2</v>
      </c>
      <c r="P117" s="3">
        <f t="shared" si="18"/>
        <v>2736.8279999999991</v>
      </c>
      <c r="Q117" s="10">
        <f t="shared" si="19"/>
        <v>0.78656885333033943</v>
      </c>
      <c r="R117" s="8"/>
      <c r="S117" s="8"/>
    </row>
    <row r="118" spans="3:19" x14ac:dyDescent="0.25">
      <c r="C118" s="2">
        <f>AtmosphereISA!C114:F114</f>
        <v>62160</v>
      </c>
      <c r="D118" s="2">
        <f>AtmosphereISA!D114:G114</f>
        <v>62.16</v>
      </c>
      <c r="E118" s="2">
        <f>AtmosphereISA!E114:H114</f>
        <v>17</v>
      </c>
      <c r="F118" s="2">
        <f>AtmosphereISA!F114:I114</f>
        <v>-22.78</v>
      </c>
      <c r="G118" s="2">
        <f>AtmosphereISA!G114:J114</f>
        <v>250.36999999999998</v>
      </c>
      <c r="H118" s="3">
        <f t="shared" si="10"/>
        <v>258.38183999999995</v>
      </c>
      <c r="I118" s="4">
        <f t="shared" si="11"/>
        <v>1.898138341876581E-4</v>
      </c>
      <c r="J118" s="3">
        <f t="shared" si="12"/>
        <v>282.41735999999997</v>
      </c>
      <c r="K118" s="4">
        <f t="shared" si="13"/>
        <v>2.5913780162497012E-4</v>
      </c>
      <c r="L118" s="3">
        <f t="shared" si="14"/>
        <v>378.55943999999994</v>
      </c>
      <c r="M118" s="4">
        <f t="shared" si="15"/>
        <v>7.2257043939086643E-4</v>
      </c>
      <c r="N118" s="3">
        <f t="shared" si="16"/>
        <v>863.77649999999971</v>
      </c>
      <c r="O118" s="4">
        <f t="shared" si="17"/>
        <v>1.2966290700547747E-2</v>
      </c>
      <c r="P118" s="3">
        <f t="shared" si="18"/>
        <v>2703.9959999999992</v>
      </c>
      <c r="Q118" s="10">
        <f t="shared" si="19"/>
        <v>0.70377213192714583</v>
      </c>
      <c r="R118" s="8"/>
      <c r="S118" s="8"/>
    </row>
    <row r="119" spans="3:19" x14ac:dyDescent="0.25">
      <c r="C119" s="2">
        <f>AtmosphereISA!C115:F115</f>
        <v>63280</v>
      </c>
      <c r="D119" s="2">
        <f>AtmosphereISA!D115:G115</f>
        <v>63.28</v>
      </c>
      <c r="E119" s="2">
        <f>AtmosphereISA!E115:H115</f>
        <v>14</v>
      </c>
      <c r="F119" s="2">
        <f>AtmosphereISA!F115:I115</f>
        <v>-27.26</v>
      </c>
      <c r="G119" s="2">
        <f>AtmosphereISA!G115:J115</f>
        <v>245.89</v>
      </c>
      <c r="H119" s="3">
        <f t="shared" si="10"/>
        <v>253.75847999999999</v>
      </c>
      <c r="I119" s="4">
        <f t="shared" si="11"/>
        <v>1.5631727521336547E-4</v>
      </c>
      <c r="J119" s="3">
        <f t="shared" si="12"/>
        <v>277.36391999999995</v>
      </c>
      <c r="K119" s="4">
        <f t="shared" si="13"/>
        <v>2.1340760133821068E-4</v>
      </c>
      <c r="L119" s="3">
        <f t="shared" si="14"/>
        <v>371.78567999999996</v>
      </c>
      <c r="M119" s="4">
        <f t="shared" si="15"/>
        <v>5.9505800891012522E-4</v>
      </c>
      <c r="N119" s="3">
        <f t="shared" si="16"/>
        <v>848.32049999999981</v>
      </c>
      <c r="O119" s="4">
        <f t="shared" si="17"/>
        <v>1.0678121753392261E-2</v>
      </c>
      <c r="P119" s="3">
        <f t="shared" si="18"/>
        <v>2655.6119999999992</v>
      </c>
      <c r="Q119" s="10">
        <f t="shared" si="19"/>
        <v>0.57957704982235536</v>
      </c>
      <c r="R119" s="8"/>
      <c r="S119" s="8"/>
    </row>
    <row r="120" spans="3:19" x14ac:dyDescent="0.25">
      <c r="C120" s="2">
        <f>AtmosphereISA!C116:F116</f>
        <v>64410</v>
      </c>
      <c r="D120" s="2">
        <f>AtmosphereISA!D116:G116</f>
        <v>64.41</v>
      </c>
      <c r="E120" s="2">
        <f>AtmosphereISA!E116:H116</f>
        <v>12</v>
      </c>
      <c r="F120" s="2">
        <f>AtmosphereISA!F116:I116</f>
        <v>-31.78</v>
      </c>
      <c r="G120" s="2">
        <f>AtmosphereISA!G116:J116</f>
        <v>241.36999999999998</v>
      </c>
      <c r="H120" s="3">
        <f t="shared" si="10"/>
        <v>249.09383999999997</v>
      </c>
      <c r="I120" s="4">
        <f t="shared" si="11"/>
        <v>1.339862358971704E-4</v>
      </c>
      <c r="J120" s="3">
        <f t="shared" si="12"/>
        <v>272.26535999999993</v>
      </c>
      <c r="K120" s="4">
        <f t="shared" si="13"/>
        <v>1.8292080114703772E-4</v>
      </c>
      <c r="L120" s="3">
        <f t="shared" si="14"/>
        <v>364.95143999999999</v>
      </c>
      <c r="M120" s="4">
        <f t="shared" si="15"/>
        <v>5.1004972192296449E-4</v>
      </c>
      <c r="N120" s="3">
        <f t="shared" si="16"/>
        <v>832.72649999999976</v>
      </c>
      <c r="O120" s="4">
        <f t="shared" si="17"/>
        <v>9.1526757886219393E-3</v>
      </c>
      <c r="P120" s="3">
        <f t="shared" si="18"/>
        <v>2606.7959999999989</v>
      </c>
      <c r="Q120" s="10">
        <f t="shared" si="19"/>
        <v>0.49678032841916175</v>
      </c>
      <c r="R120" s="8"/>
      <c r="S120" s="8"/>
    </row>
    <row r="121" spans="3:19" x14ac:dyDescent="0.25">
      <c r="C121" s="2">
        <f>AtmosphereISA!C117:F117</f>
        <v>65550</v>
      </c>
      <c r="D121" s="2">
        <f>AtmosphereISA!D117:G117</f>
        <v>65.55</v>
      </c>
      <c r="E121" s="2">
        <f>AtmosphereISA!E117:H117</f>
        <v>10</v>
      </c>
      <c r="F121" s="2">
        <f>AtmosphereISA!F117:I117</f>
        <v>-36.340000000000003</v>
      </c>
      <c r="G121" s="2">
        <f>AtmosphereISA!G117:J117</f>
        <v>236.80999999999997</v>
      </c>
      <c r="H121" s="3">
        <f t="shared" si="10"/>
        <v>244.38791999999998</v>
      </c>
      <c r="I121" s="4">
        <f t="shared" si="11"/>
        <v>1.1165519658097533E-4</v>
      </c>
      <c r="J121" s="3">
        <f t="shared" si="12"/>
        <v>267.12167999999997</v>
      </c>
      <c r="K121" s="4">
        <f t="shared" si="13"/>
        <v>1.5243400095586477E-4</v>
      </c>
      <c r="L121" s="3">
        <f t="shared" si="14"/>
        <v>358.05671999999998</v>
      </c>
      <c r="M121" s="4">
        <f t="shared" si="15"/>
        <v>4.2504143493580382E-4</v>
      </c>
      <c r="N121" s="3">
        <f t="shared" si="16"/>
        <v>816.99449999999979</v>
      </c>
      <c r="O121" s="4">
        <f t="shared" si="17"/>
        <v>7.6272298238516155E-3</v>
      </c>
      <c r="P121" s="3">
        <f t="shared" si="18"/>
        <v>2557.5479999999989</v>
      </c>
      <c r="Q121" s="10">
        <f t="shared" si="19"/>
        <v>0.41398360701596815</v>
      </c>
      <c r="R121" s="8"/>
      <c r="S121" s="8"/>
    </row>
    <row r="122" spans="3:19" x14ac:dyDescent="0.25">
      <c r="C122" s="2">
        <f>AtmosphereISA!C118:F118</f>
        <v>66700</v>
      </c>
      <c r="D122" s="2">
        <f>AtmosphereISA!D118:G118</f>
        <v>66.7</v>
      </c>
      <c r="E122" s="2">
        <f>AtmosphereISA!E118:H118</f>
        <v>9</v>
      </c>
      <c r="F122" s="2">
        <f>AtmosphereISA!F118:I118</f>
        <v>-40.94</v>
      </c>
      <c r="G122" s="2">
        <f>AtmosphereISA!G118:J118</f>
        <v>232.20999999999998</v>
      </c>
      <c r="H122" s="3">
        <f t="shared" si="10"/>
        <v>239.64071999999999</v>
      </c>
      <c r="I122" s="4">
        <f t="shared" si="11"/>
        <v>1.004896769228778E-4</v>
      </c>
      <c r="J122" s="3">
        <f t="shared" si="12"/>
        <v>261.93287999999995</v>
      </c>
      <c r="K122" s="4">
        <f t="shared" si="13"/>
        <v>1.3719060086027829E-4</v>
      </c>
      <c r="L122" s="3">
        <f t="shared" si="14"/>
        <v>351.10151999999999</v>
      </c>
      <c r="M122" s="4">
        <f t="shared" si="15"/>
        <v>3.825372914422234E-4</v>
      </c>
      <c r="N122" s="3">
        <f t="shared" si="16"/>
        <v>801.12449999999978</v>
      </c>
      <c r="O122" s="4">
        <f t="shared" si="17"/>
        <v>6.8645068414664549E-3</v>
      </c>
      <c r="P122" s="3">
        <f t="shared" si="18"/>
        <v>2507.867999999999</v>
      </c>
      <c r="Q122" s="10">
        <f t="shared" si="19"/>
        <v>0.37258524631437134</v>
      </c>
      <c r="R122" s="8"/>
      <c r="S122" s="8"/>
    </row>
    <row r="123" spans="3:19" x14ac:dyDescent="0.25">
      <c r="C123" s="2">
        <f>AtmosphereISA!C119:F119</f>
        <v>67860</v>
      </c>
      <c r="D123" s="2">
        <f>AtmosphereISA!D119:G119</f>
        <v>67.86</v>
      </c>
      <c r="E123" s="2">
        <f>AtmosphereISA!E119:H119</f>
        <v>7</v>
      </c>
      <c r="F123" s="2">
        <f>AtmosphereISA!F119:I119</f>
        <v>-45.58</v>
      </c>
      <c r="G123" s="2">
        <f>AtmosphereISA!G119:J119</f>
        <v>227.57</v>
      </c>
      <c r="H123" s="3">
        <f t="shared" si="10"/>
        <v>234.85223999999999</v>
      </c>
      <c r="I123" s="4">
        <f t="shared" si="11"/>
        <v>7.8158637606682736E-5</v>
      </c>
      <c r="J123" s="3">
        <f t="shared" si="12"/>
        <v>256.69895999999994</v>
      </c>
      <c r="K123" s="4">
        <f t="shared" si="13"/>
        <v>1.0670380066910534E-4</v>
      </c>
      <c r="L123" s="3">
        <f t="shared" si="14"/>
        <v>344.08584000000002</v>
      </c>
      <c r="M123" s="4">
        <f t="shared" si="15"/>
        <v>2.9752900445506261E-4</v>
      </c>
      <c r="N123" s="3">
        <f t="shared" si="16"/>
        <v>785.11649999999986</v>
      </c>
      <c r="O123" s="4">
        <f t="shared" si="17"/>
        <v>5.3390608766961303E-3</v>
      </c>
      <c r="P123" s="3">
        <f t="shared" si="18"/>
        <v>2457.7559999999994</v>
      </c>
      <c r="Q123" s="10">
        <f t="shared" si="19"/>
        <v>0.28978852491117768</v>
      </c>
      <c r="R123" s="8"/>
      <c r="S123" s="8"/>
    </row>
    <row r="124" spans="3:19" x14ac:dyDescent="0.25">
      <c r="C124" s="2">
        <f>AtmosphereISA!C120:F120</f>
        <v>69030</v>
      </c>
      <c r="D124" s="2">
        <f>AtmosphereISA!D120:G120</f>
        <v>69.03</v>
      </c>
      <c r="E124" s="2">
        <f>AtmosphereISA!E120:H120</f>
        <v>6</v>
      </c>
      <c r="F124" s="2">
        <f>AtmosphereISA!F120:I120</f>
        <v>-50.26</v>
      </c>
      <c r="G124" s="2">
        <f>AtmosphereISA!G120:J120</f>
        <v>222.89</v>
      </c>
      <c r="H124" s="3">
        <f t="shared" si="10"/>
        <v>230.02248</v>
      </c>
      <c r="I124" s="4">
        <f t="shared" si="11"/>
        <v>6.6993117948585198E-5</v>
      </c>
      <c r="J124" s="3">
        <f t="shared" si="12"/>
        <v>251.41991999999996</v>
      </c>
      <c r="K124" s="4">
        <f t="shared" si="13"/>
        <v>9.1460400573518862E-5</v>
      </c>
      <c r="L124" s="3">
        <f t="shared" si="14"/>
        <v>337.00968</v>
      </c>
      <c r="M124" s="4">
        <f t="shared" si="15"/>
        <v>2.5502486096148225E-4</v>
      </c>
      <c r="N124" s="3">
        <f t="shared" si="16"/>
        <v>768.97049999999979</v>
      </c>
      <c r="O124" s="4">
        <f t="shared" si="17"/>
        <v>4.5763378943109697E-3</v>
      </c>
      <c r="P124" s="3">
        <f t="shared" si="18"/>
        <v>2407.2119999999991</v>
      </c>
      <c r="Q124" s="10">
        <f t="shared" si="19"/>
        <v>0.24839016420958088</v>
      </c>
      <c r="R124" s="8"/>
      <c r="S124" s="8"/>
    </row>
    <row r="125" spans="3:19" x14ac:dyDescent="0.25">
      <c r="C125" s="2">
        <f>AtmosphereISA!C121:F121</f>
        <v>70210</v>
      </c>
      <c r="D125" s="2">
        <f>AtmosphereISA!D121:G121</f>
        <v>70.209999999999994</v>
      </c>
      <c r="E125" s="2">
        <f>AtmosphereISA!E121:H121</f>
        <v>5</v>
      </c>
      <c r="F125" s="2">
        <f>AtmosphereISA!F121:I121</f>
        <v>-54.98</v>
      </c>
      <c r="G125" s="2">
        <f>AtmosphereISA!G121:J121</f>
        <v>218.17</v>
      </c>
      <c r="H125" s="3">
        <f t="shared" si="10"/>
        <v>225.15143999999998</v>
      </c>
      <c r="I125" s="4">
        <f t="shared" si="11"/>
        <v>5.5827598290487667E-5</v>
      </c>
      <c r="J125" s="3">
        <f t="shared" si="12"/>
        <v>246.09575999999996</v>
      </c>
      <c r="K125" s="4">
        <f t="shared" si="13"/>
        <v>7.6217000477932383E-5</v>
      </c>
      <c r="L125" s="3">
        <f t="shared" si="14"/>
        <v>329.87304</v>
      </c>
      <c r="M125" s="4">
        <f t="shared" si="15"/>
        <v>2.1252071746790191E-4</v>
      </c>
      <c r="N125" s="3">
        <f t="shared" si="16"/>
        <v>752.6864999999998</v>
      </c>
      <c r="O125" s="4">
        <f t="shared" si="17"/>
        <v>3.8136149119258078E-3</v>
      </c>
      <c r="P125" s="3">
        <f t="shared" si="18"/>
        <v>2356.2359999999994</v>
      </c>
      <c r="Q125" s="10">
        <f t="shared" si="19"/>
        <v>0.20699180350798407</v>
      </c>
      <c r="R125" s="8"/>
      <c r="S125" s="8"/>
    </row>
    <row r="126" spans="3:19" x14ac:dyDescent="0.25">
      <c r="C126" s="2">
        <f>AtmosphereISA!C122:F122</f>
        <v>71400</v>
      </c>
      <c r="D126" s="2">
        <f>AtmosphereISA!D122:G122</f>
        <v>71.400000000000006</v>
      </c>
      <c r="E126" s="2">
        <f>AtmosphereISA!E122:H122</f>
        <v>4</v>
      </c>
      <c r="F126" s="2">
        <f>AtmosphereISA!F122:I122</f>
        <v>-59.74</v>
      </c>
      <c r="G126" s="2">
        <f>AtmosphereISA!G122:J122</f>
        <v>213.40999999999997</v>
      </c>
      <c r="H126" s="3">
        <f t="shared" si="10"/>
        <v>220.23911999999999</v>
      </c>
      <c r="I126" s="4">
        <f t="shared" si="11"/>
        <v>4.4662078632390137E-5</v>
      </c>
      <c r="J126" s="3">
        <f t="shared" si="12"/>
        <v>240.72647999999995</v>
      </c>
      <c r="K126" s="4">
        <f t="shared" si="13"/>
        <v>6.097360038234591E-5</v>
      </c>
      <c r="L126" s="3">
        <f t="shared" si="14"/>
        <v>322.67591999999996</v>
      </c>
      <c r="M126" s="4">
        <f t="shared" si="15"/>
        <v>1.7001657397432152E-4</v>
      </c>
      <c r="N126" s="3">
        <f t="shared" si="16"/>
        <v>736.26449999999977</v>
      </c>
      <c r="O126" s="4">
        <f t="shared" si="17"/>
        <v>3.0508919295406463E-3</v>
      </c>
      <c r="P126" s="3">
        <f t="shared" si="18"/>
        <v>2304.8279999999991</v>
      </c>
      <c r="Q126" s="10">
        <f t="shared" si="19"/>
        <v>0.16559344280638724</v>
      </c>
      <c r="R126" s="8"/>
      <c r="S126" s="8"/>
    </row>
    <row r="127" spans="3:19" x14ac:dyDescent="0.25">
      <c r="C127" s="2">
        <f>AtmosphereISA!C123:F123</f>
        <v>72600</v>
      </c>
      <c r="D127" s="2">
        <f>AtmosphereISA!D123:G123</f>
        <v>72.599999999999994</v>
      </c>
      <c r="E127" s="2">
        <f>AtmosphereISA!E123:H123</f>
        <v>4</v>
      </c>
      <c r="F127" s="2">
        <f>AtmosphereISA!F123:I123</f>
        <v>-64.540000000000006</v>
      </c>
      <c r="G127" s="2">
        <f>AtmosphereISA!G123:J123</f>
        <v>208.60999999999996</v>
      </c>
      <c r="H127" s="3">
        <f t="shared" si="10"/>
        <v>215.28551999999996</v>
      </c>
      <c r="I127" s="4">
        <f t="shared" si="11"/>
        <v>4.4662078632390137E-5</v>
      </c>
      <c r="J127" s="3">
        <f t="shared" si="12"/>
        <v>235.31207999999992</v>
      </c>
      <c r="K127" s="4">
        <f t="shared" si="13"/>
        <v>6.097360038234591E-5</v>
      </c>
      <c r="L127" s="3">
        <f t="shared" si="14"/>
        <v>315.41831999999994</v>
      </c>
      <c r="M127" s="4">
        <f t="shared" si="15"/>
        <v>1.7001657397432152E-4</v>
      </c>
      <c r="N127" s="3">
        <f t="shared" si="16"/>
        <v>719.70449999999971</v>
      </c>
      <c r="O127" s="4">
        <f t="shared" si="17"/>
        <v>3.0508919295406463E-3</v>
      </c>
      <c r="P127" s="3">
        <f t="shared" si="18"/>
        <v>2252.9879999999989</v>
      </c>
      <c r="Q127" s="10">
        <f t="shared" si="19"/>
        <v>0.16559344280638724</v>
      </c>
      <c r="R127" s="8"/>
      <c r="S127" s="8"/>
    </row>
    <row r="128" spans="3:19" x14ac:dyDescent="0.25">
      <c r="C128" s="2">
        <f>AtmosphereISA!C124:F124</f>
        <v>73810</v>
      </c>
      <c r="D128" s="2">
        <f>AtmosphereISA!D124:G124</f>
        <v>73.81</v>
      </c>
      <c r="E128" s="2">
        <f>AtmosphereISA!E124:H124</f>
        <v>3</v>
      </c>
      <c r="F128" s="2">
        <f>AtmosphereISA!F124:I124</f>
        <v>-69.38</v>
      </c>
      <c r="G128" s="2">
        <f>AtmosphereISA!G124:J124</f>
        <v>203.76999999999998</v>
      </c>
      <c r="H128" s="3">
        <f t="shared" si="10"/>
        <v>210.29064</v>
      </c>
      <c r="I128" s="4">
        <f t="shared" si="11"/>
        <v>3.3496558974292599E-5</v>
      </c>
      <c r="J128" s="3">
        <f t="shared" si="12"/>
        <v>229.85255999999995</v>
      </c>
      <c r="K128" s="4">
        <f t="shared" si="13"/>
        <v>4.5730200286759431E-5</v>
      </c>
      <c r="L128" s="3">
        <f t="shared" si="14"/>
        <v>308.10023999999999</v>
      </c>
      <c r="M128" s="4">
        <f t="shared" si="15"/>
        <v>1.2751243048074112E-4</v>
      </c>
      <c r="N128" s="3">
        <f t="shared" si="16"/>
        <v>703.00649999999985</v>
      </c>
      <c r="O128" s="4">
        <f t="shared" si="17"/>
        <v>2.2881689471554848E-3</v>
      </c>
      <c r="P128" s="3">
        <f t="shared" si="18"/>
        <v>2200.7159999999994</v>
      </c>
      <c r="Q128" s="10">
        <f t="shared" si="19"/>
        <v>0.12419508210479044</v>
      </c>
      <c r="R128" s="8"/>
      <c r="S128" s="8"/>
    </row>
    <row r="129" spans="3:19" x14ac:dyDescent="0.25">
      <c r="C129" s="2">
        <f>AtmosphereISA!C125:F125</f>
        <v>75030</v>
      </c>
      <c r="D129" s="2">
        <f>AtmosphereISA!D125:G125</f>
        <v>75.03</v>
      </c>
      <c r="E129" s="2">
        <f>AtmosphereISA!E125:H125</f>
        <v>2</v>
      </c>
      <c r="F129" s="2">
        <f>AtmosphereISA!F125:I125</f>
        <v>-74.260000000000005</v>
      </c>
      <c r="G129" s="2">
        <f>AtmosphereISA!G125:J125</f>
        <v>198.89</v>
      </c>
      <c r="H129" s="3">
        <f t="shared" si="10"/>
        <v>205.25448</v>
      </c>
      <c r="I129" s="4">
        <f t="shared" si="11"/>
        <v>2.2331039316195068E-5</v>
      </c>
      <c r="J129" s="3">
        <f t="shared" si="12"/>
        <v>224.34791999999996</v>
      </c>
      <c r="K129" s="4">
        <f t="shared" si="13"/>
        <v>3.0486800191172955E-5</v>
      </c>
      <c r="L129" s="3">
        <f t="shared" si="14"/>
        <v>300.72167999999999</v>
      </c>
      <c r="M129" s="4">
        <f t="shared" si="15"/>
        <v>8.5008286987160758E-5</v>
      </c>
      <c r="N129" s="3">
        <f t="shared" si="16"/>
        <v>686.17049999999983</v>
      </c>
      <c r="O129" s="4">
        <f t="shared" si="17"/>
        <v>1.5254459647703231E-3</v>
      </c>
      <c r="P129" s="3">
        <f t="shared" si="18"/>
        <v>2148.0119999999993</v>
      </c>
      <c r="Q129" s="10">
        <f t="shared" si="19"/>
        <v>8.2796721403193621E-2</v>
      </c>
      <c r="R129" s="8"/>
      <c r="S129" s="8"/>
    </row>
    <row r="130" spans="3:19" x14ac:dyDescent="0.25">
      <c r="C130" s="2">
        <f>AtmosphereISA!C126:F126</f>
        <v>76260</v>
      </c>
      <c r="D130" s="2">
        <f>AtmosphereISA!D126:G126</f>
        <v>76.260000000000005</v>
      </c>
      <c r="E130" s="2">
        <f>AtmosphereISA!E126:H126</f>
        <v>2</v>
      </c>
      <c r="F130" s="2">
        <f>AtmosphereISA!F126:I126</f>
        <v>-79.180000000000007</v>
      </c>
      <c r="G130" s="2">
        <f>AtmosphereISA!G126:J126</f>
        <v>193.96999999999997</v>
      </c>
      <c r="H130" s="3">
        <f t="shared" si="10"/>
        <v>200.17703999999998</v>
      </c>
      <c r="I130" s="4">
        <f t="shared" si="11"/>
        <v>2.2331039316195068E-5</v>
      </c>
      <c r="J130" s="3">
        <f t="shared" si="12"/>
        <v>218.79815999999994</v>
      </c>
      <c r="K130" s="4">
        <f t="shared" si="13"/>
        <v>3.0486800191172955E-5</v>
      </c>
      <c r="L130" s="3">
        <f t="shared" si="14"/>
        <v>293.28263999999996</v>
      </c>
      <c r="M130" s="4">
        <f t="shared" si="15"/>
        <v>8.5008286987160758E-5</v>
      </c>
      <c r="N130" s="3">
        <f t="shared" si="16"/>
        <v>669.19649999999979</v>
      </c>
      <c r="O130" s="4">
        <f t="shared" si="17"/>
        <v>1.5254459647703231E-3</v>
      </c>
      <c r="P130" s="3">
        <f t="shared" si="18"/>
        <v>2094.8759999999993</v>
      </c>
      <c r="Q130" s="10">
        <f t="shared" si="19"/>
        <v>8.2796721403193621E-2</v>
      </c>
      <c r="R130" s="8"/>
      <c r="S130" s="8"/>
    </row>
    <row r="131" spans="3:19" x14ac:dyDescent="0.25">
      <c r="C131" s="2">
        <f>AtmosphereISA!C127:F127</f>
        <v>77500</v>
      </c>
      <c r="D131" s="2">
        <f>AtmosphereISA!D127:G127</f>
        <v>77.5</v>
      </c>
      <c r="E131" s="2">
        <f>AtmosphereISA!E127:H127</f>
        <v>2</v>
      </c>
      <c r="F131" s="2">
        <f>AtmosphereISA!F127:I127</f>
        <v>-84.14</v>
      </c>
      <c r="G131" s="2">
        <f>AtmosphereISA!G127:J127</f>
        <v>189.01</v>
      </c>
      <c r="H131" s="3">
        <f t="shared" si="10"/>
        <v>195.05832000000001</v>
      </c>
      <c r="I131" s="4">
        <f t="shared" si="11"/>
        <v>2.2331039316195068E-5</v>
      </c>
      <c r="J131" s="3">
        <f t="shared" si="12"/>
        <v>213.20327999999998</v>
      </c>
      <c r="K131" s="4">
        <f t="shared" si="13"/>
        <v>3.0486800191172955E-5</v>
      </c>
      <c r="L131" s="3">
        <f t="shared" si="14"/>
        <v>285.78312</v>
      </c>
      <c r="M131" s="4">
        <f t="shared" si="15"/>
        <v>8.5008286987160758E-5</v>
      </c>
      <c r="N131" s="3">
        <f t="shared" si="16"/>
        <v>652.08449999999982</v>
      </c>
      <c r="O131" s="4">
        <f t="shared" si="17"/>
        <v>1.5254459647703231E-3</v>
      </c>
      <c r="P131" s="3">
        <f t="shared" si="18"/>
        <v>2041.3079999999993</v>
      </c>
      <c r="Q131" s="10">
        <f t="shared" si="19"/>
        <v>8.2796721403193621E-2</v>
      </c>
      <c r="R131" s="8"/>
      <c r="S131" s="8"/>
    </row>
    <row r="132" spans="3:19" x14ac:dyDescent="0.25">
      <c r="C132" s="2">
        <f>AtmosphereISA!C128:F128</f>
        <v>78750</v>
      </c>
      <c r="D132" s="2">
        <f>AtmosphereISA!D128:G128</f>
        <v>78.75</v>
      </c>
      <c r="E132" s="2">
        <f>AtmosphereISA!E128:H128</f>
        <v>1</v>
      </c>
      <c r="F132" s="2">
        <f>AtmosphereISA!F128:I128</f>
        <v>-89.14</v>
      </c>
      <c r="G132" s="2">
        <f>AtmosphereISA!G128:J128</f>
        <v>184.01</v>
      </c>
      <c r="H132" s="3">
        <f t="shared" si="10"/>
        <v>189.89831999999998</v>
      </c>
      <c r="I132" s="4">
        <f t="shared" si="11"/>
        <v>1.1165519658097534E-5</v>
      </c>
      <c r="J132" s="3">
        <f t="shared" si="12"/>
        <v>207.56327999999996</v>
      </c>
      <c r="K132" s="4">
        <f t="shared" si="13"/>
        <v>1.5243400095586478E-5</v>
      </c>
      <c r="L132" s="3">
        <f t="shared" si="14"/>
        <v>278.22311999999999</v>
      </c>
      <c r="M132" s="4">
        <f t="shared" si="15"/>
        <v>4.2504143493580379E-5</v>
      </c>
      <c r="N132" s="3">
        <f t="shared" si="16"/>
        <v>634.83449999999982</v>
      </c>
      <c r="O132" s="4">
        <f t="shared" si="17"/>
        <v>7.6272298238516157E-4</v>
      </c>
      <c r="P132" s="3">
        <f t="shared" si="18"/>
        <v>1987.3079999999993</v>
      </c>
      <c r="Q132" s="10">
        <f t="shared" si="19"/>
        <v>4.1398360701596811E-2</v>
      </c>
      <c r="R132" s="8"/>
      <c r="S132" s="8"/>
    </row>
    <row r="133" spans="3:19" x14ac:dyDescent="0.25">
      <c r="C133" s="2">
        <f>AtmosphereISA!C129:F129</f>
        <v>80010</v>
      </c>
      <c r="D133" s="2">
        <f>AtmosphereISA!D129:G129</f>
        <v>80.010000000000005</v>
      </c>
      <c r="E133" s="2">
        <f>AtmosphereISA!E129:H129</f>
        <v>1</v>
      </c>
      <c r="F133" s="2">
        <f>AtmosphereISA!F129:I129</f>
        <v>-92.5</v>
      </c>
      <c r="G133" s="2">
        <f>AtmosphereISA!G129:J129</f>
        <v>180.64999999999998</v>
      </c>
      <c r="H133" s="3">
        <f t="shared" si="10"/>
        <v>186.43079999999998</v>
      </c>
      <c r="I133" s="4">
        <f t="shared" si="11"/>
        <v>1.1165519658097534E-5</v>
      </c>
      <c r="J133" s="3">
        <f t="shared" si="12"/>
        <v>203.77319999999995</v>
      </c>
      <c r="K133" s="4">
        <f t="shared" si="13"/>
        <v>1.5243400095586478E-5</v>
      </c>
      <c r="L133" s="3">
        <f t="shared" si="14"/>
        <v>273.14279999999997</v>
      </c>
      <c r="M133" s="4">
        <f t="shared" si="15"/>
        <v>4.2504143493580379E-5</v>
      </c>
      <c r="N133" s="3">
        <f t="shared" si="16"/>
        <v>623.24249999999984</v>
      </c>
      <c r="O133" s="4">
        <f t="shared" si="17"/>
        <v>7.6272298238516157E-4</v>
      </c>
      <c r="P133" s="3">
        <f t="shared" si="18"/>
        <v>1951.0199999999993</v>
      </c>
      <c r="Q133" s="10">
        <f t="shared" si="19"/>
        <v>4.1398360701596811E-2</v>
      </c>
      <c r="R133" s="8"/>
      <c r="S133" s="8"/>
    </row>
    <row r="134" spans="3:19" x14ac:dyDescent="0.25">
      <c r="C134" s="2">
        <f>AtmosphereISA!C130:F130</f>
        <v>81280</v>
      </c>
      <c r="D134" s="2">
        <f>AtmosphereISA!D130:G130</f>
        <v>81.28</v>
      </c>
      <c r="E134" s="2">
        <f>AtmosphereISA!E130:H130</f>
        <v>1</v>
      </c>
      <c r="F134" s="2">
        <f>AtmosphereISA!F130:I130</f>
        <v>-92.5</v>
      </c>
      <c r="G134" s="2">
        <f>AtmosphereISA!G130:J130</f>
        <v>180.64999999999998</v>
      </c>
      <c r="H134" s="3">
        <f t="shared" si="10"/>
        <v>186.43079999999998</v>
      </c>
      <c r="I134" s="4">
        <f t="shared" si="11"/>
        <v>1.1165519658097534E-5</v>
      </c>
      <c r="J134" s="3">
        <f t="shared" si="12"/>
        <v>203.77319999999995</v>
      </c>
      <c r="K134" s="4">
        <f t="shared" si="13"/>
        <v>1.5243400095586478E-5</v>
      </c>
      <c r="L134" s="3">
        <f t="shared" si="14"/>
        <v>273.14279999999997</v>
      </c>
      <c r="M134" s="4">
        <f t="shared" si="15"/>
        <v>4.2504143493580379E-5</v>
      </c>
      <c r="N134" s="3">
        <f t="shared" si="16"/>
        <v>623.24249999999984</v>
      </c>
      <c r="O134" s="4">
        <f t="shared" si="17"/>
        <v>7.6272298238516157E-4</v>
      </c>
      <c r="P134" s="3">
        <f t="shared" si="18"/>
        <v>1951.0199999999993</v>
      </c>
      <c r="Q134" s="10">
        <f t="shared" si="19"/>
        <v>4.1398360701596811E-2</v>
      </c>
      <c r="R134" s="8"/>
      <c r="S134" s="8"/>
    </row>
    <row r="135" spans="3:19" x14ac:dyDescent="0.25">
      <c r="C135" s="2">
        <f>AtmosphereISA!C131:F131</f>
        <v>82560</v>
      </c>
      <c r="D135" s="2">
        <f>AtmosphereISA!D131:G131</f>
        <v>82.56</v>
      </c>
      <c r="E135" s="2">
        <f>AtmosphereISA!E131:H131</f>
        <v>1</v>
      </c>
      <c r="F135" s="2">
        <f>AtmosphereISA!F131:I131</f>
        <v>-92.5</v>
      </c>
      <c r="G135" s="2">
        <f>AtmosphereISA!G131:J131</f>
        <v>180.64999999999998</v>
      </c>
      <c r="H135" s="3">
        <f t="shared" si="10"/>
        <v>186.43079999999998</v>
      </c>
      <c r="I135" s="4">
        <f t="shared" si="11"/>
        <v>1.1165519658097534E-5</v>
      </c>
      <c r="J135" s="3">
        <f t="shared" si="12"/>
        <v>203.77319999999995</v>
      </c>
      <c r="K135" s="4">
        <f t="shared" si="13"/>
        <v>1.5243400095586478E-5</v>
      </c>
      <c r="L135" s="3">
        <f t="shared" si="14"/>
        <v>273.14279999999997</v>
      </c>
      <c r="M135" s="4">
        <f t="shared" si="15"/>
        <v>4.2504143493580379E-5</v>
      </c>
      <c r="N135" s="3">
        <f t="shared" si="16"/>
        <v>623.24249999999984</v>
      </c>
      <c r="O135" s="4">
        <f t="shared" si="17"/>
        <v>7.6272298238516157E-4</v>
      </c>
      <c r="P135" s="3">
        <f t="shared" si="18"/>
        <v>1951.0199999999993</v>
      </c>
      <c r="Q135" s="10">
        <f t="shared" si="19"/>
        <v>4.1398360701596811E-2</v>
      </c>
      <c r="R135" s="8"/>
      <c r="S135" s="8"/>
    </row>
    <row r="136" spans="3:19" x14ac:dyDescent="0.25">
      <c r="C136" s="2">
        <f>AtmosphereISA!C132:F132</f>
        <v>83850</v>
      </c>
      <c r="D136" s="2">
        <f>AtmosphereISA!D132:G132</f>
        <v>83.85</v>
      </c>
      <c r="E136" s="2">
        <f>AtmosphereISA!E132:H132</f>
        <v>0</v>
      </c>
      <c r="F136" s="2">
        <f>AtmosphereISA!F132:I132</f>
        <v>-92.5</v>
      </c>
      <c r="G136" s="2">
        <f>AtmosphereISA!G132:J132</f>
        <v>180.64999999999998</v>
      </c>
      <c r="H136" s="3">
        <f t="shared" ref="H136:H146" si="20">G136*$I$2</f>
        <v>186.43079999999998</v>
      </c>
      <c r="I136" s="4">
        <f t="shared" ref="I136:I146" si="21">$I$3*E136/100000</f>
        <v>0</v>
      </c>
      <c r="J136" s="3">
        <f t="shared" ref="J136:J146" si="22">G136*$K$2</f>
        <v>203.77319999999995</v>
      </c>
      <c r="K136" s="4">
        <f t="shared" ref="K136:K146" si="23">$K$3*E136/100000</f>
        <v>0</v>
      </c>
      <c r="L136" s="3">
        <f t="shared" ref="L136:L146" si="24">G136*$M$2</f>
        <v>273.14279999999997</v>
      </c>
      <c r="M136" s="4">
        <f t="shared" ref="M136:M146" si="25">$M$3*E136/100000</f>
        <v>0</v>
      </c>
      <c r="N136" s="3">
        <f t="shared" ref="N136:N146" si="26">G136*$O$2</f>
        <v>623.24249999999984</v>
      </c>
      <c r="O136" s="4">
        <f t="shared" ref="O136:O146" si="27">$O$3*E136/100000</f>
        <v>0</v>
      </c>
      <c r="P136" s="3">
        <f t="shared" ref="P136:P146" si="28">G136*$Q$2</f>
        <v>1951.0199999999993</v>
      </c>
      <c r="Q136" s="10">
        <f t="shared" ref="Q136:Q146" si="29">$Q$3*E136/100000</f>
        <v>0</v>
      </c>
      <c r="R136" s="8"/>
      <c r="S136" s="8"/>
    </row>
    <row r="137" spans="3:19" x14ac:dyDescent="0.25">
      <c r="C137" s="2">
        <f>AtmosphereISA!C133:F133</f>
        <v>85150</v>
      </c>
      <c r="D137" s="2">
        <f>AtmosphereISA!D133:G133</f>
        <v>85.15</v>
      </c>
      <c r="E137" s="2">
        <f>AtmosphereISA!E133:H133</f>
        <v>0</v>
      </c>
      <c r="F137" s="2">
        <f>AtmosphereISA!F133:I133</f>
        <v>-92.5</v>
      </c>
      <c r="G137" s="2">
        <f>AtmosphereISA!G133:J133</f>
        <v>180.64999999999998</v>
      </c>
      <c r="H137" s="3">
        <f t="shared" si="20"/>
        <v>186.43079999999998</v>
      </c>
      <c r="I137" s="4">
        <f t="shared" si="21"/>
        <v>0</v>
      </c>
      <c r="J137" s="3">
        <f t="shared" si="22"/>
        <v>203.77319999999995</v>
      </c>
      <c r="K137" s="4">
        <f t="shared" si="23"/>
        <v>0</v>
      </c>
      <c r="L137" s="3">
        <f t="shared" si="24"/>
        <v>273.14279999999997</v>
      </c>
      <c r="M137" s="4">
        <f t="shared" si="25"/>
        <v>0</v>
      </c>
      <c r="N137" s="3">
        <f t="shared" si="26"/>
        <v>623.24249999999984</v>
      </c>
      <c r="O137" s="4">
        <f t="shared" si="27"/>
        <v>0</v>
      </c>
      <c r="P137" s="3">
        <f t="shared" si="28"/>
        <v>1951.0199999999993</v>
      </c>
      <c r="Q137" s="10">
        <f t="shared" si="29"/>
        <v>0</v>
      </c>
      <c r="R137" s="8"/>
      <c r="S137" s="8"/>
    </row>
    <row r="138" spans="3:19" x14ac:dyDescent="0.25">
      <c r="C138" s="2">
        <f>AtmosphereISA!C134:F134</f>
        <v>86460</v>
      </c>
      <c r="D138" s="2">
        <f>AtmosphereISA!D134:G134</f>
        <v>86.46</v>
      </c>
      <c r="E138" s="2">
        <f>AtmosphereISA!E134:H134</f>
        <v>0</v>
      </c>
      <c r="F138" s="2">
        <f>AtmosphereISA!F134:I134</f>
        <v>-92.5</v>
      </c>
      <c r="G138" s="2">
        <f>AtmosphereISA!G134:J134</f>
        <v>180.64999999999998</v>
      </c>
      <c r="H138" s="3">
        <f t="shared" si="20"/>
        <v>186.43079999999998</v>
      </c>
      <c r="I138" s="4">
        <f t="shared" si="21"/>
        <v>0</v>
      </c>
      <c r="J138" s="3">
        <f t="shared" si="22"/>
        <v>203.77319999999995</v>
      </c>
      <c r="K138" s="4">
        <f t="shared" si="23"/>
        <v>0</v>
      </c>
      <c r="L138" s="3">
        <f t="shared" si="24"/>
        <v>273.14279999999997</v>
      </c>
      <c r="M138" s="4">
        <f t="shared" si="25"/>
        <v>0</v>
      </c>
      <c r="N138" s="3">
        <f t="shared" si="26"/>
        <v>623.24249999999984</v>
      </c>
      <c r="O138" s="4">
        <f t="shared" si="27"/>
        <v>0</v>
      </c>
      <c r="P138" s="3">
        <f t="shared" si="28"/>
        <v>1951.0199999999993</v>
      </c>
      <c r="Q138" s="10">
        <f t="shared" si="29"/>
        <v>0</v>
      </c>
      <c r="R138" s="8"/>
      <c r="S138" s="8"/>
    </row>
    <row r="139" spans="3:19" x14ac:dyDescent="0.25">
      <c r="C139" s="2">
        <f>AtmosphereISA!C135:F135</f>
        <v>87780</v>
      </c>
      <c r="D139" s="2">
        <f>AtmosphereISA!D135:G135</f>
        <v>87.78</v>
      </c>
      <c r="E139" s="2">
        <f>AtmosphereISA!E135:H135</f>
        <v>0</v>
      </c>
      <c r="F139" s="2">
        <f>AtmosphereISA!F135:I135</f>
        <v>-92.5</v>
      </c>
      <c r="G139" s="2">
        <f>AtmosphereISA!G135:J135</f>
        <v>180.64999999999998</v>
      </c>
      <c r="H139" s="3">
        <f t="shared" si="20"/>
        <v>186.43079999999998</v>
      </c>
      <c r="I139" s="4">
        <f t="shared" si="21"/>
        <v>0</v>
      </c>
      <c r="J139" s="3">
        <f t="shared" si="22"/>
        <v>203.77319999999995</v>
      </c>
      <c r="K139" s="4">
        <f t="shared" si="23"/>
        <v>0</v>
      </c>
      <c r="L139" s="3">
        <f t="shared" si="24"/>
        <v>273.14279999999997</v>
      </c>
      <c r="M139" s="4">
        <f t="shared" si="25"/>
        <v>0</v>
      </c>
      <c r="N139" s="3">
        <f t="shared" si="26"/>
        <v>623.24249999999984</v>
      </c>
      <c r="O139" s="4">
        <f t="shared" si="27"/>
        <v>0</v>
      </c>
      <c r="P139" s="3">
        <f t="shared" si="28"/>
        <v>1951.0199999999993</v>
      </c>
      <c r="Q139" s="10">
        <f t="shared" si="29"/>
        <v>0</v>
      </c>
      <c r="R139" s="8"/>
      <c r="S139" s="8"/>
    </row>
    <row r="140" spans="3:19" x14ac:dyDescent="0.25">
      <c r="C140" s="2">
        <f>AtmosphereISA!C136:F136</f>
        <v>89110</v>
      </c>
      <c r="D140" s="2">
        <f>AtmosphereISA!D136:G136</f>
        <v>89.11</v>
      </c>
      <c r="E140" s="2">
        <f>AtmosphereISA!E136:H136</f>
        <v>0</v>
      </c>
      <c r="F140" s="2">
        <f>AtmosphereISA!F136:I136</f>
        <v>-92.5</v>
      </c>
      <c r="G140" s="2">
        <f>AtmosphereISA!G136:J136</f>
        <v>180.64999999999998</v>
      </c>
      <c r="H140" s="3">
        <f t="shared" si="20"/>
        <v>186.43079999999998</v>
      </c>
      <c r="I140" s="4">
        <f t="shared" si="21"/>
        <v>0</v>
      </c>
      <c r="J140" s="3">
        <f t="shared" si="22"/>
        <v>203.77319999999995</v>
      </c>
      <c r="K140" s="4">
        <f t="shared" si="23"/>
        <v>0</v>
      </c>
      <c r="L140" s="3">
        <f t="shared" si="24"/>
        <v>273.14279999999997</v>
      </c>
      <c r="M140" s="4">
        <f t="shared" si="25"/>
        <v>0</v>
      </c>
      <c r="N140" s="3">
        <f t="shared" si="26"/>
        <v>623.24249999999984</v>
      </c>
      <c r="O140" s="4">
        <f t="shared" si="27"/>
        <v>0</v>
      </c>
      <c r="P140" s="3">
        <f t="shared" si="28"/>
        <v>1951.0199999999993</v>
      </c>
      <c r="Q140" s="10">
        <f t="shared" si="29"/>
        <v>0</v>
      </c>
      <c r="R140" s="8"/>
      <c r="S140" s="8"/>
    </row>
    <row r="141" spans="3:19" x14ac:dyDescent="0.25">
      <c r="C141" s="2">
        <f>AtmosphereISA!C137:F137</f>
        <v>90450</v>
      </c>
      <c r="D141" s="2">
        <f>AtmosphereISA!D137:G137</f>
        <v>90.45</v>
      </c>
      <c r="E141" s="2">
        <f>AtmosphereISA!E137:H137</f>
        <v>0</v>
      </c>
      <c r="F141" s="2">
        <f>AtmosphereISA!F137:I137</f>
        <v>-91.15</v>
      </c>
      <c r="G141" s="2">
        <f>AtmosphereISA!G137:J137</f>
        <v>181.99999999999997</v>
      </c>
      <c r="H141" s="3">
        <f t="shared" si="20"/>
        <v>187.82399999999998</v>
      </c>
      <c r="I141" s="4">
        <f t="shared" si="21"/>
        <v>0</v>
      </c>
      <c r="J141" s="3">
        <f t="shared" si="22"/>
        <v>205.29599999999994</v>
      </c>
      <c r="K141" s="4">
        <f t="shared" si="23"/>
        <v>0</v>
      </c>
      <c r="L141" s="3">
        <f t="shared" si="24"/>
        <v>275.18399999999997</v>
      </c>
      <c r="M141" s="4">
        <f t="shared" si="25"/>
        <v>0</v>
      </c>
      <c r="N141" s="3">
        <f t="shared" si="26"/>
        <v>627.89999999999975</v>
      </c>
      <c r="O141" s="4">
        <f t="shared" si="27"/>
        <v>0</v>
      </c>
      <c r="P141" s="3">
        <f t="shared" si="28"/>
        <v>1965.5999999999992</v>
      </c>
      <c r="Q141" s="10">
        <f t="shared" si="29"/>
        <v>0</v>
      </c>
      <c r="R141" s="8"/>
      <c r="S141" s="8"/>
    </row>
    <row r="142" spans="3:19" x14ac:dyDescent="0.25">
      <c r="C142" s="2">
        <f>AtmosphereISA!C138:F138</f>
        <v>91800</v>
      </c>
      <c r="D142" s="2">
        <f>AtmosphereISA!D138:G138</f>
        <v>91.8</v>
      </c>
      <c r="E142" s="2">
        <f>AtmosphereISA!E138:H138</f>
        <v>0</v>
      </c>
      <c r="F142" s="2">
        <f>AtmosphereISA!F138:I138</f>
        <v>-87.1</v>
      </c>
      <c r="G142" s="2">
        <f>AtmosphereISA!G138:J138</f>
        <v>186.04999999999998</v>
      </c>
      <c r="H142" s="3">
        <f t="shared" si="20"/>
        <v>192.00359999999998</v>
      </c>
      <c r="I142" s="4">
        <f t="shared" si="21"/>
        <v>0</v>
      </c>
      <c r="J142" s="3">
        <f t="shared" si="22"/>
        <v>209.86439999999996</v>
      </c>
      <c r="K142" s="4">
        <f t="shared" si="23"/>
        <v>0</v>
      </c>
      <c r="L142" s="3">
        <f t="shared" si="24"/>
        <v>281.30759999999998</v>
      </c>
      <c r="M142" s="4">
        <f t="shared" si="25"/>
        <v>0</v>
      </c>
      <c r="N142" s="3">
        <f t="shared" si="26"/>
        <v>641.87249999999983</v>
      </c>
      <c r="O142" s="4">
        <f t="shared" si="27"/>
        <v>0</v>
      </c>
      <c r="P142" s="3">
        <f t="shared" si="28"/>
        <v>2009.3399999999992</v>
      </c>
      <c r="Q142" s="10">
        <f t="shared" si="29"/>
        <v>0</v>
      </c>
      <c r="R142" s="8"/>
      <c r="S142" s="8"/>
    </row>
    <row r="143" spans="3:19" x14ac:dyDescent="0.25">
      <c r="C143" s="2">
        <f>AtmosphereISA!C139:F139</f>
        <v>93160</v>
      </c>
      <c r="D143" s="2">
        <f>AtmosphereISA!D139:G139</f>
        <v>93.16</v>
      </c>
      <c r="E143" s="2">
        <f>AtmosphereISA!E139:H139</f>
        <v>0</v>
      </c>
      <c r="F143" s="2">
        <f>AtmosphereISA!F139:I139</f>
        <v>-83.02</v>
      </c>
      <c r="G143" s="2">
        <f>AtmosphereISA!G139:J139</f>
        <v>190.13</v>
      </c>
      <c r="H143" s="3">
        <f t="shared" si="20"/>
        <v>196.21415999999999</v>
      </c>
      <c r="I143" s="4">
        <f t="shared" si="21"/>
        <v>0</v>
      </c>
      <c r="J143" s="3">
        <f t="shared" si="22"/>
        <v>214.46663999999998</v>
      </c>
      <c r="K143" s="4">
        <f t="shared" si="23"/>
        <v>0</v>
      </c>
      <c r="L143" s="3">
        <f t="shared" si="24"/>
        <v>287.47656000000001</v>
      </c>
      <c r="M143" s="4">
        <f t="shared" si="25"/>
        <v>0</v>
      </c>
      <c r="N143" s="3">
        <f t="shared" si="26"/>
        <v>655.94849999999985</v>
      </c>
      <c r="O143" s="4">
        <f t="shared" si="27"/>
        <v>0</v>
      </c>
      <c r="P143" s="3">
        <f t="shared" si="28"/>
        <v>2053.4039999999995</v>
      </c>
      <c r="Q143" s="10">
        <f t="shared" si="29"/>
        <v>0</v>
      </c>
      <c r="R143" s="8"/>
      <c r="S143" s="8"/>
    </row>
    <row r="144" spans="3:19" x14ac:dyDescent="0.25">
      <c r="C144" s="2">
        <f>AtmosphereISA!C140:F140</f>
        <v>94530</v>
      </c>
      <c r="D144" s="2">
        <f>AtmosphereISA!D140:G140</f>
        <v>94.53</v>
      </c>
      <c r="E144" s="2">
        <f>AtmosphereISA!E140:H140</f>
        <v>0</v>
      </c>
      <c r="F144" s="2">
        <f>AtmosphereISA!F140:I140</f>
        <v>-78.91</v>
      </c>
      <c r="G144" s="2">
        <f>AtmosphereISA!G140:J140</f>
        <v>194.23999999999998</v>
      </c>
      <c r="H144" s="3">
        <f t="shared" si="20"/>
        <v>200.45567999999997</v>
      </c>
      <c r="I144" s="4">
        <f t="shared" si="21"/>
        <v>0</v>
      </c>
      <c r="J144" s="3">
        <f t="shared" si="22"/>
        <v>219.10271999999995</v>
      </c>
      <c r="K144" s="4">
        <f t="shared" si="23"/>
        <v>0</v>
      </c>
      <c r="L144" s="3">
        <f t="shared" si="24"/>
        <v>293.69087999999999</v>
      </c>
      <c r="M144" s="4">
        <f t="shared" si="25"/>
        <v>0</v>
      </c>
      <c r="N144" s="3">
        <f t="shared" si="26"/>
        <v>670.12799999999982</v>
      </c>
      <c r="O144" s="4">
        <f t="shared" si="27"/>
        <v>0</v>
      </c>
      <c r="P144" s="3">
        <f t="shared" si="28"/>
        <v>2097.7919999999995</v>
      </c>
      <c r="Q144" s="10">
        <f t="shared" si="29"/>
        <v>0</v>
      </c>
      <c r="R144" s="8"/>
      <c r="S144" s="8"/>
    </row>
    <row r="145" spans="3:19" x14ac:dyDescent="0.25">
      <c r="C145" s="2">
        <f>AtmosphereISA!C141:F141</f>
        <v>95910</v>
      </c>
      <c r="D145" s="2">
        <f>AtmosphereISA!D141:G141</f>
        <v>95.91</v>
      </c>
      <c r="E145" s="2">
        <f>AtmosphereISA!E141:H141</f>
        <v>0</v>
      </c>
      <c r="F145" s="2">
        <f>AtmosphereISA!F141:I141</f>
        <v>-74.77</v>
      </c>
      <c r="G145" s="2">
        <f>AtmosphereISA!G141:J141</f>
        <v>198.38</v>
      </c>
      <c r="H145" s="3">
        <f t="shared" si="20"/>
        <v>204.72816</v>
      </c>
      <c r="I145" s="4">
        <f t="shared" si="21"/>
        <v>0</v>
      </c>
      <c r="J145" s="3">
        <f t="shared" si="22"/>
        <v>223.77263999999997</v>
      </c>
      <c r="K145" s="4">
        <f t="shared" si="23"/>
        <v>0</v>
      </c>
      <c r="L145" s="3">
        <f t="shared" si="24"/>
        <v>299.95056</v>
      </c>
      <c r="M145" s="4">
        <f t="shared" si="25"/>
        <v>0</v>
      </c>
      <c r="N145" s="3">
        <f t="shared" si="26"/>
        <v>684.41099999999983</v>
      </c>
      <c r="O145" s="4">
        <f t="shared" si="27"/>
        <v>0</v>
      </c>
      <c r="P145" s="3">
        <f t="shared" si="28"/>
        <v>2142.5039999999995</v>
      </c>
      <c r="Q145" s="10">
        <f t="shared" si="29"/>
        <v>0</v>
      </c>
      <c r="R145" s="8"/>
      <c r="S145" s="8"/>
    </row>
    <row r="146" spans="3:19" x14ac:dyDescent="0.25">
      <c r="C146" s="2">
        <f>AtmosphereISA!C142:F142</f>
        <v>97300</v>
      </c>
      <c r="D146" s="2">
        <f>AtmosphereISA!D142:G142</f>
        <v>97.3</v>
      </c>
      <c r="E146" s="2">
        <f>AtmosphereISA!E142:H142</f>
        <v>0</v>
      </c>
      <c r="F146" s="2">
        <f>AtmosphereISA!F142:I142</f>
        <v>-70.599999999999994</v>
      </c>
      <c r="G146" s="2">
        <f>AtmosphereISA!G142:J142</f>
        <v>202.54999999999998</v>
      </c>
      <c r="H146" s="3">
        <f t="shared" si="20"/>
        <v>209.0316</v>
      </c>
      <c r="I146" s="4">
        <f t="shared" si="21"/>
        <v>0</v>
      </c>
      <c r="J146" s="3">
        <f t="shared" si="22"/>
        <v>228.47639999999996</v>
      </c>
      <c r="K146" s="4">
        <f t="shared" si="23"/>
        <v>0</v>
      </c>
      <c r="L146" s="3">
        <f t="shared" si="24"/>
        <v>306.25559999999996</v>
      </c>
      <c r="M146" s="4">
        <f t="shared" si="25"/>
        <v>0</v>
      </c>
      <c r="N146" s="3">
        <f t="shared" si="26"/>
        <v>698.79749999999979</v>
      </c>
      <c r="O146" s="4">
        <f t="shared" si="27"/>
        <v>0</v>
      </c>
      <c r="P146" s="3">
        <f t="shared" si="28"/>
        <v>2187.5399999999991</v>
      </c>
      <c r="Q146" s="10">
        <f t="shared" si="29"/>
        <v>0</v>
      </c>
      <c r="R146" s="8"/>
      <c r="S146" s="8"/>
    </row>
  </sheetData>
  <mergeCells count="1">
    <mergeCell ref="C5:D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>
      <selection activeCell="G13" sqref="G13"/>
    </sheetView>
  </sheetViews>
  <sheetFormatPr defaultRowHeight="15" x14ac:dyDescent="0.25"/>
  <cols>
    <col min="2" max="2" width="11.85546875" customWidth="1"/>
    <col min="3" max="3" width="11" customWidth="1"/>
    <col min="4" max="4" width="12.42578125" customWidth="1"/>
    <col min="5" max="5" width="13.5703125" customWidth="1"/>
    <col min="6" max="6" width="15.28515625" customWidth="1"/>
    <col min="7" max="7" width="15.7109375" bestFit="1" customWidth="1"/>
  </cols>
  <sheetData>
    <row r="2" spans="2:7" x14ac:dyDescent="0.25">
      <c r="F2" s="18" t="s">
        <v>24</v>
      </c>
      <c r="G2" s="18"/>
    </row>
    <row r="3" spans="2:7" ht="30" x14ac:dyDescent="0.25">
      <c r="B3" s="15" t="s">
        <v>21</v>
      </c>
      <c r="C3" s="12" t="s">
        <v>13</v>
      </c>
      <c r="D3" s="15" t="s">
        <v>22</v>
      </c>
      <c r="E3" s="15" t="s">
        <v>23</v>
      </c>
      <c r="F3" s="13" t="s">
        <v>25</v>
      </c>
      <c r="G3" s="14" t="s">
        <v>26</v>
      </c>
    </row>
    <row r="4" spans="2:7" x14ac:dyDescent="0.25">
      <c r="B4" s="2">
        <v>0</v>
      </c>
      <c r="C4" s="3">
        <v>0.03</v>
      </c>
      <c r="D4" s="11">
        <f>Recovery!E7/100000</f>
        <v>1.01342</v>
      </c>
      <c r="E4" s="3">
        <f>AtmosphereISA!G3</f>
        <v>288.14999999999998</v>
      </c>
      <c r="F4" s="10">
        <v>8</v>
      </c>
      <c r="G4" s="3">
        <v>286</v>
      </c>
    </row>
    <row r="5" spans="2:7" x14ac:dyDescent="0.25">
      <c r="B5" s="2">
        <v>5</v>
      </c>
      <c r="C5" s="3">
        <v>0.4</v>
      </c>
      <c r="D5" s="11">
        <f>AtmosphereISA!E34/100000</f>
        <v>0.54323999999999995</v>
      </c>
      <c r="E5" s="3">
        <f>AtmosphereISA!G34</f>
        <v>255.90999999999997</v>
      </c>
      <c r="F5" s="10">
        <v>5</v>
      </c>
      <c r="G5" s="3">
        <v>300</v>
      </c>
    </row>
    <row r="6" spans="2:7" x14ac:dyDescent="0.25">
      <c r="B6" s="2">
        <v>15</v>
      </c>
      <c r="C6" s="3">
        <v>0.8</v>
      </c>
      <c r="D6" s="11">
        <f>AtmosphereISA!E57/100000</f>
        <v>0.12373000000000001</v>
      </c>
      <c r="E6" s="3">
        <f>AtmosphereISA!G57</f>
        <v>216.64999999999998</v>
      </c>
      <c r="F6" s="4">
        <v>0.55000000000000004</v>
      </c>
      <c r="G6" s="3">
        <v>306</v>
      </c>
    </row>
    <row r="7" spans="2:7" x14ac:dyDescent="0.25">
      <c r="B7" s="2">
        <v>20</v>
      </c>
      <c r="C7" s="3">
        <v>1.6</v>
      </c>
      <c r="D7" s="11">
        <f>AtmosphereISA!E66/100000</f>
        <v>5.3929999999999999E-2</v>
      </c>
      <c r="E7" s="3">
        <f>AtmosphereISA!G66</f>
        <v>216.74999999999997</v>
      </c>
      <c r="F7" s="4">
        <v>0.12</v>
      </c>
      <c r="G7" s="3">
        <v>320</v>
      </c>
    </row>
    <row r="8" spans="2:7" x14ac:dyDescent="0.25">
      <c r="B8" s="2">
        <v>28</v>
      </c>
      <c r="C8" s="3">
        <v>3.5</v>
      </c>
      <c r="D8" s="11">
        <f>AtmosphereISA!E77/100000</f>
        <v>1.6639999999999999E-2</v>
      </c>
      <c r="E8" s="3">
        <f>AtmosphereISA!G77</f>
        <v>224.33999999999997</v>
      </c>
      <c r="F8" s="4">
        <v>0.12</v>
      </c>
      <c r="G8" s="3">
        <v>500</v>
      </c>
    </row>
    <row r="9" spans="2:7" x14ac:dyDescent="0.25">
      <c r="B9" s="2">
        <v>28</v>
      </c>
      <c r="C9" s="3">
        <v>7</v>
      </c>
      <c r="D9" s="11">
        <f>D8</f>
        <v>1.6639999999999999E-2</v>
      </c>
      <c r="E9" s="3">
        <f>E8</f>
        <v>224.33999999999997</v>
      </c>
      <c r="F9" s="4">
        <v>0.4</v>
      </c>
      <c r="G9" s="3">
        <v>750</v>
      </c>
    </row>
    <row r="10" spans="2:7" x14ac:dyDescent="0.25">
      <c r="B10" s="16">
        <v>35</v>
      </c>
      <c r="C10" s="3">
        <v>4</v>
      </c>
      <c r="D10" s="11">
        <f>AtmosphereISA!E86/100000</f>
        <v>5.8399999999999997E-3</v>
      </c>
      <c r="E10" s="3">
        <f>AtmosphereISA!G86</f>
        <v>236.2</v>
      </c>
      <c r="F10" s="10">
        <v>25</v>
      </c>
      <c r="G10" s="3">
        <v>1800</v>
      </c>
    </row>
    <row r="11" spans="2:7" x14ac:dyDescent="0.25">
      <c r="B11" s="2">
        <v>64.400000000000006</v>
      </c>
      <c r="C11" s="3">
        <v>8</v>
      </c>
      <c r="D11" s="11">
        <f>AtmosphereISA!E116/100000</f>
        <v>1.2E-4</v>
      </c>
      <c r="E11" s="3">
        <f>AtmosphereISA!G116</f>
        <v>241.36999999999998</v>
      </c>
      <c r="F11" s="10">
        <v>25</v>
      </c>
      <c r="G11" s="3">
        <v>241.37</v>
      </c>
    </row>
  </sheetData>
  <mergeCells count="1">
    <mergeCell ref="F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AtmosphereISA</vt:lpstr>
      <vt:lpstr>Recovery</vt:lpstr>
      <vt:lpstr>FlightPath</vt:lpstr>
      <vt:lpstr>Pressure</vt:lpstr>
      <vt:lpstr>Temperature</vt:lpstr>
      <vt:lpstr>AtmosphereISA!Atmosphere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cp:lastPrinted>2016-06-25T17:13:33Z</cp:lastPrinted>
  <dcterms:created xsi:type="dcterms:W3CDTF">2016-06-25T11:40:02Z</dcterms:created>
  <dcterms:modified xsi:type="dcterms:W3CDTF">2016-06-25T20:10:34Z</dcterms:modified>
</cp:coreProperties>
</file>