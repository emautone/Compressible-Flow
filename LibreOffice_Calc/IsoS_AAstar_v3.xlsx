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7485" activeTab="1"/>
  </bookViews>
  <sheets>
    <sheet name="IsoS" sheetId="3" r:id="rId1"/>
    <sheet name="Pcritica" sheetId="4" r:id="rId2"/>
    <sheet name="AreaVariavel" sheetId="1" r:id="rId3"/>
    <sheet name="MFP" sheetId="2" r:id="rId4"/>
    <sheet name="VazaoMassica" sheetId="5" r:id="rId5"/>
  </sheets>
  <calcPr calcId="145621"/>
</workbook>
</file>

<file path=xl/calcChain.xml><?xml version="1.0" encoding="utf-8"?>
<calcChain xmlns="http://schemas.openxmlformats.org/spreadsheetml/2006/main">
  <c r="O10" i="3" l="1"/>
  <c r="K22" i="5"/>
  <c r="K18" i="5"/>
  <c r="K21" i="5"/>
  <c r="C19" i="5"/>
  <c r="C20" i="5" s="1"/>
  <c r="F10" i="4" l="1"/>
  <c r="D9" i="4"/>
  <c r="J10" i="4" s="1"/>
  <c r="D11" i="4" l="1"/>
  <c r="F11" i="4" s="1"/>
  <c r="F9" i="4"/>
  <c r="J11" i="4"/>
  <c r="L11" i="4" s="1"/>
  <c r="E11" i="1"/>
  <c r="J11" i="1"/>
  <c r="F13" i="3" l="1"/>
  <c r="L13" i="3"/>
  <c r="C13" i="3"/>
  <c r="O12" i="3"/>
  <c r="O13" i="3" s="1"/>
  <c r="F12" i="3"/>
  <c r="L12" i="3"/>
  <c r="C12" i="3"/>
  <c r="D19" i="2" l="1"/>
  <c r="K18" i="2" l="1"/>
  <c r="K19" i="2" s="1"/>
  <c r="G18" i="2"/>
  <c r="G19" i="2" s="1"/>
  <c r="E12" i="1"/>
</calcChain>
</file>

<file path=xl/sharedStrings.xml><?xml version="1.0" encoding="utf-8"?>
<sst xmlns="http://schemas.openxmlformats.org/spreadsheetml/2006/main" count="94" uniqueCount="34">
  <si>
    <t>M</t>
  </si>
  <si>
    <t>A/A*</t>
  </si>
  <si>
    <t>gama</t>
  </si>
  <si>
    <t>f(M,gama)</t>
  </si>
  <si>
    <t>f(A/A*,gama,M)</t>
  </si>
  <si>
    <t>Funçao objetivo</t>
  </si>
  <si>
    <t>Pt</t>
  </si>
  <si>
    <t>Tt</t>
  </si>
  <si>
    <t>A</t>
  </si>
  <si>
    <t>mdot</t>
  </si>
  <si>
    <t>MFP</t>
  </si>
  <si>
    <t>R</t>
  </si>
  <si>
    <t>MFP(M)</t>
  </si>
  <si>
    <t>Pa</t>
  </si>
  <si>
    <t>K</t>
  </si>
  <si>
    <t>m2</t>
  </si>
  <si>
    <t>kg/s</t>
  </si>
  <si>
    <t>Tt/T</t>
  </si>
  <si>
    <t>Pt/P</t>
  </si>
  <si>
    <t>Pressão Crítica</t>
  </si>
  <si>
    <t>P*</t>
  </si>
  <si>
    <t>bar</t>
  </si>
  <si>
    <t>Pt0</t>
  </si>
  <si>
    <t>P*/Pt0</t>
  </si>
  <si>
    <t>(estática na garganta)</t>
  </si>
  <si>
    <t>P</t>
  </si>
  <si>
    <t>At</t>
  </si>
  <si>
    <t>af</t>
  </si>
  <si>
    <t>J/kg/K</t>
  </si>
  <si>
    <t>m/s</t>
  </si>
  <si>
    <t>Escoamento Supersônico</t>
  </si>
  <si>
    <t>Escoamento Subsônico</t>
  </si>
  <si>
    <t>P/Pt</t>
  </si>
  <si>
    <t>Pt0/P*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</si>
</sst>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0.00000"/>
    <numFmt numFmtId="165" formatCode="0.0000"/>
    <numFmt numFmtId="166" formatCode="0.000"/>
    <numFmt numFmtId="167" formatCode="0_ ;\-0\ "/>
    <numFmt numFmtId="168" formatCode="_-* #,##0.000_-;\-* #,##0.000_-;_-* &quot;-&quot;??_-;_-@_-"/>
    <numFmt numFmtId="169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2" fillId="2" borderId="0" xfId="0" applyFont="1" applyFill="1"/>
    <xf numFmtId="165" fontId="2" fillId="0" borderId="0" xfId="0" applyNumberFormat="1" applyFont="1"/>
    <xf numFmtId="165" fontId="2" fillId="2" borderId="0" xfId="0" applyNumberFormat="1" applyFont="1" applyFill="1"/>
    <xf numFmtId="0" fontId="0" fillId="0" borderId="0" xfId="0" applyFill="1"/>
    <xf numFmtId="166" fontId="2" fillId="0" borderId="0" xfId="0" applyNumberFormat="1" applyFont="1"/>
    <xf numFmtId="166" fontId="2" fillId="2" borderId="0" xfId="0" applyNumberFormat="1" applyFont="1" applyFill="1"/>
    <xf numFmtId="0" fontId="2" fillId="0" borderId="0" xfId="0" applyFont="1" applyAlignment="1">
      <alignment horizontal="center"/>
    </xf>
    <xf numFmtId="0" fontId="0" fillId="0" borderId="0" xfId="0" applyFill="1" applyBorder="1"/>
    <xf numFmtId="0" fontId="2" fillId="0" borderId="0" xfId="0" applyFont="1" applyFill="1"/>
    <xf numFmtId="166" fontId="2" fillId="3" borderId="0" xfId="0" applyNumberFormat="1" applyFont="1" applyFill="1"/>
    <xf numFmtId="2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8" fontId="2" fillId="2" borderId="0" xfId="1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7" fontId="2" fillId="2" borderId="0" xfId="1" applyNumberFormat="1" applyFont="1" applyFill="1" applyAlignment="1">
      <alignment horizontal="center"/>
    </xf>
    <xf numFmtId="169" fontId="2" fillId="2" borderId="0" xfId="1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176212</xdr:rowOff>
    </xdr:from>
    <xdr:ext cx="3019426" cy="7838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/>
            <xdr:cNvSpPr txBox="1"/>
          </xdr:nvSpPr>
          <xdr:spPr>
            <a:xfrm>
              <a:off x="657225" y="557212"/>
              <a:ext cx="3019426" cy="78386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000" i="1">
                            <a:latin typeface="Cambria Math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lang="pt-BR" sz="2000" b="0" i="1">
                                <a:latin typeface="Cambria Math"/>
                              </a:rPr>
                              <m:t>𝑇</m:t>
                            </m:r>
                          </m:e>
                          <m:sub>
                            <m:r>
                              <a:rPr lang="pt-BR" sz="2000" b="0" i="1">
                                <a:latin typeface="Cambria Math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pt-BR" sz="2000" b="0" i="1">
                            <a:latin typeface="Cambria Math"/>
                          </a:rPr>
                          <m:t>𝑇</m:t>
                        </m:r>
                      </m:den>
                    </m:f>
                    <m:r>
                      <a:rPr lang="pt-BR" sz="2000" b="0" i="1">
                        <a:latin typeface="Cambria Math"/>
                      </a:rPr>
                      <m:t>=</m:t>
                    </m:r>
                    <m:d>
                      <m:dPr>
                        <m:ctrlP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pt-BR" sz="20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1+</m:t>
                        </m:r>
                        <m:f>
                          <m:f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𝛾</m:t>
                            </m:r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−1</m:t>
                            </m:r>
                          </m:num>
                          <m:den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2</m:t>
                            </m:r>
                          </m:den>
                        </m:f>
                        <m:sSup>
                          <m:sSup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𝑀</m:t>
                            </m:r>
                          </m:e>
                          <m:sup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657225" y="557212"/>
              <a:ext cx="3019426" cy="78386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2000" b="0" i="0">
                  <a:latin typeface="Cambria Math"/>
                </a:rPr>
                <a:t>𝑇</a:t>
              </a:r>
              <a:r>
                <a:rPr lang="en-US" sz="2000" b="0" i="0">
                  <a:latin typeface="Cambria Math"/>
                </a:rPr>
                <a:t>_</a:t>
              </a:r>
              <a:r>
                <a:rPr lang="pt-BR" sz="2000" b="0" i="0">
                  <a:latin typeface="Cambria Math"/>
                </a:rPr>
                <a:t>𝑡</a:t>
              </a:r>
              <a:r>
                <a:rPr lang="en-US" sz="2000" b="0" i="0">
                  <a:latin typeface="Cambria Math"/>
                </a:rPr>
                <a:t>/</a:t>
              </a:r>
              <a:r>
                <a:rPr lang="pt-BR" sz="2000" b="0" i="0">
                  <a:latin typeface="Cambria Math"/>
                </a:rPr>
                <a:t>𝑇=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(1+(𝛾−1)/2 𝑀^2 )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9</xdr:col>
      <xdr:colOff>476250</xdr:colOff>
      <xdr:row>2</xdr:row>
      <xdr:rowOff>119062</xdr:rowOff>
    </xdr:from>
    <xdr:ext cx="3505200" cy="858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/>
            <xdr:cNvSpPr txBox="1"/>
          </xdr:nvSpPr>
          <xdr:spPr>
            <a:xfrm>
              <a:off x="5962650" y="500062"/>
              <a:ext cx="3505200" cy="858377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000" i="1">
                            <a:latin typeface="Cambria Math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lang="pt-BR" sz="2000" b="0" i="1">
                                <a:latin typeface="Cambria Math"/>
                              </a:rPr>
                              <m:t>𝑃</m:t>
                            </m:r>
                          </m:e>
                          <m:sub>
                            <m:r>
                              <a:rPr lang="pt-BR" sz="2000" b="0" i="1">
                                <a:latin typeface="Cambria Math"/>
                              </a:rPr>
                              <m:t>𝑡</m:t>
                            </m:r>
                          </m:sub>
                        </m:sSub>
                      </m:num>
                      <m:den>
                        <m:r>
                          <a:rPr lang="pt-BR" sz="2000" b="0" i="1">
                            <a:latin typeface="Cambria Math"/>
                          </a:rPr>
                          <m:t>𝑃</m:t>
                        </m:r>
                      </m:den>
                    </m:f>
                    <m:r>
                      <a:rPr lang="pt-BR" sz="2000" b="0" i="1">
                        <a:latin typeface="Cambria Math"/>
                      </a:rPr>
                      <m:t>=</m:t>
                    </m:r>
                    <m:sSup>
                      <m:sSupPr>
                        <m:ctrlPr>
                          <a:rPr lang="pt-BR" sz="2000" b="0" i="1">
                            <a:latin typeface="Cambria Math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BR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𝛾</m:t>
                                </m:r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num>
                              <m:den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p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p>
                        <m:r>
                          <a:rPr lang="pt-BR" sz="2000" b="0" i="1">
                            <a:latin typeface="Cambria Math"/>
                            <a:ea typeface="Cambria Math"/>
                          </a:rPr>
                          <m:t>𝛾</m:t>
                        </m:r>
                        <m:r>
                          <a:rPr lang="pt-BR" sz="2000" b="0" i="1">
                            <a:latin typeface="Cambria Math"/>
                            <a:ea typeface="Cambria Math"/>
                          </a:rPr>
                          <m:t>/(</m:t>
                        </m:r>
                        <m:r>
                          <a:rPr lang="pt-BR" sz="2000" b="0" i="1">
                            <a:latin typeface="Cambria Math"/>
                            <a:ea typeface="Cambria Math"/>
                          </a:rPr>
                          <m:t>𝛾</m:t>
                        </m:r>
                        <m:r>
                          <a:rPr lang="pt-BR" sz="2000" b="0" i="1">
                            <a:latin typeface="Cambria Math"/>
                            <a:ea typeface="Cambria Math"/>
                          </a:rPr>
                          <m:t>−1)</m:t>
                        </m:r>
                      </m:sup>
                    </m:sSup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CaixaDeTexto 2"/>
            <xdr:cNvSpPr txBox="1"/>
          </xdr:nvSpPr>
          <xdr:spPr>
            <a:xfrm>
              <a:off x="5962650" y="500062"/>
              <a:ext cx="3505200" cy="858377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2000" b="0" i="0">
                  <a:latin typeface="Cambria Math"/>
                </a:rPr>
                <a:t>𝑃</a:t>
              </a:r>
              <a:r>
                <a:rPr lang="en-US" sz="2000" b="0" i="0">
                  <a:latin typeface="Cambria Math"/>
                </a:rPr>
                <a:t>_</a:t>
              </a:r>
              <a:r>
                <a:rPr lang="pt-BR" sz="2000" b="0" i="0">
                  <a:latin typeface="Cambria Math"/>
                </a:rPr>
                <a:t>𝑡</a:t>
              </a:r>
              <a:r>
                <a:rPr lang="en-US" sz="2000" b="0" i="0">
                  <a:latin typeface="Cambria Math"/>
                </a:rPr>
                <a:t>/</a:t>
              </a:r>
              <a:r>
                <a:rPr lang="pt-BR" sz="2000" b="0" i="0">
                  <a:latin typeface="Cambria Math"/>
                </a:rPr>
                <a:t>𝑃=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(1+(𝛾−1)/2 𝑀^2 )^(</a:t>
              </a:r>
              <a:r>
                <a:rPr lang="pt-BR" sz="2000" b="0" i="0">
                  <a:latin typeface="Cambria Math"/>
                  <a:ea typeface="Cambria Math"/>
                </a:rPr>
                <a:t>𝛾/(𝛾−1))</a:t>
              </a:r>
              <a:endParaRPr lang="en-US" sz="20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241300</xdr:colOff>
      <xdr:row>2</xdr:row>
      <xdr:rowOff>12700</xdr:rowOff>
    </xdr:from>
    <xdr:ext cx="2108200" cy="678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/>
            <xdr:cNvSpPr txBox="1"/>
          </xdr:nvSpPr>
          <xdr:spPr>
            <a:xfrm>
              <a:off x="2679700" y="393700"/>
              <a:ext cx="2108200" cy="67800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i="1">
                            <a:latin typeface="Cambria Math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400" i="1">
                                <a:latin typeface="Cambria Math"/>
                              </a:rPr>
                            </m:ctrlPr>
                          </m:sSup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𝑃</m:t>
                            </m:r>
                          </m:e>
                          <m:sup>
                            <m:r>
                              <a:rPr lang="pt-BR" sz="1400" b="0" i="1">
                                <a:latin typeface="Cambria Math"/>
                              </a:rPr>
                              <m:t>∗</m:t>
                            </m:r>
                          </m:sup>
                        </m:sSup>
                      </m:num>
                      <m:den>
                        <m:sSub>
                          <m:sSubPr>
                            <m:ctrlPr>
                              <a:rPr lang="en-US" sz="140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lang="pt-BR" sz="1400" b="0" i="1">
                                <a:latin typeface="Cambria Math"/>
                              </a:rPr>
                              <m:t>𝑃</m:t>
                            </m:r>
                          </m:e>
                          <m:sub>
                            <m:r>
                              <a:rPr lang="pt-BR" sz="1400" b="0" i="1">
                                <a:latin typeface="Cambria Math"/>
                              </a:rPr>
                              <m:t>𝑡</m:t>
                            </m:r>
                            <m:r>
                              <a:rPr lang="pt-BR" sz="1400" b="0" i="1">
                                <a:latin typeface="Cambria Math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pt-BR" sz="1400" b="0" i="1">
                        <a:latin typeface="Cambria Math"/>
                      </a:rPr>
                      <m:t>=</m:t>
                    </m:r>
                    <m:sSup>
                      <m:sSupPr>
                        <m:ctrlPr>
                          <a:rPr lang="pt-BR" sz="1400" b="0" i="1">
                            <a:latin typeface="Cambria Math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400" b="0" i="1">
                                <a:latin typeface="Cambria Math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pt-BR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𝛾</m:t>
                                </m:r>
                                <m:r>
                                  <a:rPr lang="pt-BR" sz="1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+1</m:t>
                                </m:r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pt-BR" sz="1400" b="0" i="1">
                                <a:latin typeface="Cambria Math"/>
                              </a:rPr>
                            </m:ctrlPr>
                          </m:fPr>
                          <m:num>
                            <m:r>
                              <a:rPr lang="pt-BR" sz="1400" b="0" i="1">
                                <a:latin typeface="Cambria Math"/>
                                <a:ea typeface="Cambria Math"/>
                              </a:rPr>
                              <m:t>𝛾</m:t>
                            </m:r>
                          </m:num>
                          <m:den>
                            <m:r>
                              <a:rPr lang="pt-BR" sz="1400" b="0" i="1">
                                <a:latin typeface="Cambria Math"/>
                                <a:ea typeface="Cambria Math"/>
                              </a:rPr>
                              <m:t>𝛾</m:t>
                            </m:r>
                            <m:r>
                              <a:rPr lang="pt-BR" sz="1400" b="0" i="1">
                                <a:latin typeface="Cambria Math"/>
                                <a:ea typeface="Cambria Math"/>
                              </a:rPr>
                              <m:t>−1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2679700" y="393700"/>
              <a:ext cx="2108200" cy="678006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BR" sz="1400" b="0" i="0">
                  <a:latin typeface="Cambria Math"/>
                </a:rPr>
                <a:t>𝑃</a:t>
              </a:r>
              <a:r>
                <a:rPr lang="en-US" sz="1400" b="0" i="0">
                  <a:latin typeface="Cambria Math"/>
                </a:rPr>
                <a:t>^</a:t>
              </a:r>
              <a:r>
                <a:rPr lang="pt-BR" sz="1400" b="0" i="0">
                  <a:latin typeface="Cambria Math"/>
                </a:rPr>
                <a:t>∗</a:t>
              </a:r>
              <a:r>
                <a:rPr lang="en-US" sz="1400" b="0" i="0">
                  <a:latin typeface="Cambria Math"/>
                </a:rPr>
                <a:t>/</a:t>
              </a:r>
              <a:r>
                <a:rPr lang="pt-BR" sz="1400" b="0" i="0">
                  <a:latin typeface="Cambria Math"/>
                </a:rPr>
                <a:t>𝑃</a:t>
              </a:r>
              <a:r>
                <a:rPr lang="en-US" sz="1400" b="0" i="0">
                  <a:latin typeface="Cambria Math"/>
                </a:rPr>
                <a:t>_</a:t>
              </a:r>
              <a:r>
                <a:rPr lang="pt-BR" sz="1400" b="0" i="0">
                  <a:latin typeface="Cambria Math"/>
                </a:rPr>
                <a:t>𝑡0</a:t>
              </a:r>
              <a:r>
                <a:rPr lang="en-US" sz="1400" b="0" i="0">
                  <a:latin typeface="Cambria Math"/>
                </a:rPr>
                <a:t> </a:t>
              </a:r>
              <a:r>
                <a:rPr lang="pt-BR" sz="1400" b="0" i="0">
                  <a:latin typeface="Cambria Math"/>
                </a:rPr>
                <a:t>=(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2/(𝛾+1)</a:t>
              </a:r>
              <a:r>
                <a:rPr lang="pt-BR" sz="14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)^(</a:t>
              </a:r>
              <a:r>
                <a:rPr lang="pt-BR" sz="1400" b="0" i="0">
                  <a:latin typeface="Cambria Math"/>
                  <a:ea typeface="Cambria Math"/>
                </a:rPr>
                <a:t>𝛾/(𝛾−1))</a:t>
              </a:r>
              <a:endParaRPr lang="en-US" sz="14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57151</xdr:colOff>
      <xdr:row>2</xdr:row>
      <xdr:rowOff>33337</xdr:rowOff>
    </xdr:from>
    <xdr:ext cx="5648324" cy="866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/>
            <xdr:cNvSpPr txBox="1"/>
          </xdr:nvSpPr>
          <xdr:spPr>
            <a:xfrm>
              <a:off x="1276351" y="414337"/>
              <a:ext cx="5648324" cy="86690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2000" i="1">
                            <a:latin typeface="Cambria Math"/>
                          </a:rPr>
                        </m:ctrlPr>
                      </m:fPr>
                      <m:num>
                        <m:r>
                          <a:rPr lang="pt-BR" sz="2000" b="0" i="1">
                            <a:latin typeface="Cambria Math"/>
                          </a:rPr>
                          <m:t>𝐴</m:t>
                        </m:r>
                      </m:num>
                      <m:den>
                        <m:sSup>
                          <m:sSupPr>
                            <m:ctrlPr>
                              <a:rPr lang="pt-BR" sz="2000" i="1">
                                <a:latin typeface="Cambria Math"/>
                              </a:rPr>
                            </m:ctrlPr>
                          </m:sSupPr>
                          <m:e>
                            <m:r>
                              <a:rPr lang="pt-BR" sz="2000" b="0" i="1">
                                <a:latin typeface="Cambria Math"/>
                              </a:rPr>
                              <m:t>𝐴</m:t>
                            </m:r>
                          </m:e>
                          <m:sup>
                            <m:r>
                              <a:rPr lang="pt-BR" sz="2000" b="0" i="1">
                                <a:latin typeface="Cambria Math"/>
                              </a:rPr>
                              <m:t>∗</m:t>
                            </m:r>
                          </m:sup>
                        </m:sSup>
                      </m:den>
                    </m:f>
                    <m:r>
                      <a:rPr lang="pt-BR" sz="2000" b="0" i="0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pt-BR" sz="2000" b="0" i="1">
                            <a:latin typeface="Cambria Math"/>
                          </a:rPr>
                        </m:ctrlPr>
                      </m:fPr>
                      <m:num>
                        <m:r>
                          <a:rPr lang="pt-BR" sz="2000" b="0" i="1"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lang="pt-BR" sz="2000" b="0" i="1">
                            <a:latin typeface="Cambria Math"/>
                          </a:rPr>
                          <m:t>𝑀</m:t>
                        </m:r>
                      </m:den>
                    </m:f>
                    <m:sSup>
                      <m:sSupPr>
                        <m:ctrlPr>
                          <a:rPr lang="pt-BR" sz="2000" b="0" i="1">
                            <a:latin typeface="Cambria Math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pt-BR" sz="2000" b="0" i="1">
                                <a:latin typeface="Cambria Math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num>
                              <m:den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𝛾</m:t>
                                </m:r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+1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𝛾</m:t>
                                    </m:r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−1</m:t>
                                    </m:r>
                                  </m:num>
                                  <m:den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  <m:sSup>
                                  <m:sSup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p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</m:e>
                        </m:d>
                      </m:e>
                      <m:sup>
                        <m:f>
                          <m:fPr>
                            <m:type m:val="lin"/>
                            <m:ctrlPr>
                              <a:rPr lang="pt-BR" sz="2000" b="0" i="1">
                                <a:latin typeface="Cambria Math"/>
                              </a:rPr>
                            </m:ctrlPr>
                          </m:fPr>
                          <m:num>
                            <m:d>
                              <m:dPr>
                                <m:ctrlPr>
                                  <a:rPr lang="pt-BR" sz="2000" b="0" i="1">
                                    <a:latin typeface="Cambria Math"/>
                                  </a:rPr>
                                </m:ctrlPr>
                              </m:dPr>
                              <m:e>
                                <m:r>
                                  <a:rPr lang="pt-BR" sz="2000" b="0" i="1">
                                    <a:latin typeface="Cambria Math"/>
                                    <a:ea typeface="Cambria Math"/>
                                  </a:rPr>
                                  <m:t>𝛾</m:t>
                                </m:r>
                                <m:r>
                                  <a:rPr lang="pt-BR" sz="2000" b="0" i="1">
                                    <a:latin typeface="Cambria Math"/>
                                    <a:ea typeface="Cambria Math"/>
                                  </a:rPr>
                                  <m:t>+1</m:t>
                                </m:r>
                              </m:e>
                            </m:d>
                          </m:num>
                          <m:den>
                            <m:d>
                              <m:dPr>
                                <m:begChr m:val="["/>
                                <m:endChr m:val="]"/>
                                <m:ctrlPr>
                                  <a:rPr lang="pt-BR" sz="2000" b="0" i="1">
                                    <a:latin typeface="Cambria Math"/>
                                  </a:rPr>
                                </m:ctrlPr>
                              </m:dPr>
                              <m:e>
                                <m:r>
                                  <a:rPr lang="pt-BR" sz="2000" b="0" i="1">
                                    <a:latin typeface="Cambria Math"/>
                                  </a:rPr>
                                  <m:t>2</m:t>
                                </m:r>
                                <m:d>
                                  <m:dPr>
                                    <m:ctrlPr>
                                      <a:rPr lang="pt-BR" sz="2000" b="0" i="1">
                                        <a:latin typeface="Cambria Math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2000" b="0" i="1">
                                        <a:latin typeface="Cambria Math"/>
                                        <a:ea typeface="Cambria Math"/>
                                      </a:rPr>
                                      <m:t>𝛾</m:t>
                                    </m:r>
                                    <m:r>
                                      <a:rPr lang="pt-BR" sz="2000" b="0" i="1">
                                        <a:latin typeface="Cambria Math"/>
                                        <a:ea typeface="Cambria Math"/>
                                      </a:rPr>
                                      <m:t>−1</m:t>
                                    </m:r>
                                  </m:e>
                                </m:d>
                              </m:e>
                            </m:d>
                          </m:den>
                        </m:f>
                      </m:sup>
                    </m:sSup>
                  </m:oMath>
                </m:oMathPara>
              </a14:m>
              <a:endParaRPr lang="pt-BR" sz="2000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1276351" y="414337"/>
              <a:ext cx="5648324" cy="86690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2000" b="0" i="0">
                  <a:latin typeface="Cambria Math"/>
                </a:rPr>
                <a:t>𝐴/𝐴^∗ =1/𝑀 [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2/(𝛾+1) (1+(𝛾−1)/2 𝑀^2 )]^((</a:t>
              </a:r>
              <a:r>
                <a:rPr lang="pt-BR" sz="2000" b="0" i="0">
                  <a:latin typeface="Cambria Math"/>
                  <a:ea typeface="Cambria Math"/>
                </a:rPr>
                <a:t>𝛾+1)∕[</a:t>
              </a:r>
              <a:r>
                <a:rPr lang="pt-BR" sz="2000" b="0" i="0">
                  <a:latin typeface="Cambria Math"/>
                </a:rPr>
                <a:t>2(</a:t>
              </a:r>
              <a:r>
                <a:rPr lang="pt-BR" sz="2000" b="0" i="0">
                  <a:latin typeface="Cambria Math"/>
                  <a:ea typeface="Cambria Math"/>
                </a:rPr>
                <a:t>𝛾−1)] )</a:t>
              </a:r>
              <a:endParaRPr lang="pt-BR" sz="20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7</xdr:row>
      <xdr:rowOff>85725</xdr:rowOff>
    </xdr:from>
    <xdr:ext cx="5867400" cy="8281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/>
            <xdr:cNvSpPr txBox="1"/>
          </xdr:nvSpPr>
          <xdr:spPr>
            <a:xfrm>
              <a:off x="1266825" y="1419225"/>
              <a:ext cx="5867400" cy="82817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000" b="0" i="1">
                        <a:latin typeface="Cambria Math"/>
                      </a:rPr>
                      <m:t>𝑀𝐹𝑃</m:t>
                    </m:r>
                    <m:r>
                      <a:rPr lang="pt-BR" sz="20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pt-BR" sz="2000" b="0" i="1">
                            <a:latin typeface="Cambria Math"/>
                          </a:rPr>
                        </m:ctrlPr>
                      </m:fPr>
                      <m:num>
                        <m:acc>
                          <m:accPr>
                            <m:chr m:val="̇"/>
                            <m:ctrlPr>
                              <a:rPr lang="pt-BR" sz="2000" b="0" i="1">
                                <a:latin typeface="Cambria Math"/>
                              </a:rPr>
                            </m:ctrlPr>
                          </m:accPr>
                          <m:e>
                            <m:r>
                              <a:rPr lang="pt-BR" sz="2000" b="0" i="1">
                                <a:latin typeface="Cambria Math"/>
                              </a:rPr>
                              <m:t>𝑚</m:t>
                            </m:r>
                          </m:e>
                        </m:acc>
                        <m:rad>
                          <m:radPr>
                            <m:degHide m:val="on"/>
                            <m:ctrlPr>
                              <a:rPr lang="pt-BR" sz="2000" b="0" i="1">
                                <a:latin typeface="Cambria Math"/>
                              </a:rPr>
                            </m:ctrlPr>
                          </m:radPr>
                          <m:deg/>
                          <m:e>
                            <m:sSub>
                              <m:sSubPr>
                                <m:ctrlPr>
                                  <a:rPr lang="pt-BR" sz="2000" b="0" i="1">
                                    <a:latin typeface="Cambria Math"/>
                                  </a:rPr>
                                </m:ctrlPr>
                              </m:sSubPr>
                              <m:e>
                                <m:r>
                                  <a:rPr lang="pt-BR" sz="2000" b="0" i="1">
                                    <a:latin typeface="Cambria Math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pt-BR" sz="2000" b="0" i="1">
                                    <a:latin typeface="Cambria Math"/>
                                  </a:rPr>
                                  <m:t>𝑡</m:t>
                                </m:r>
                              </m:sub>
                            </m:sSub>
                          </m:e>
                        </m:rad>
                      </m:num>
                      <m:den>
                        <m:sSub>
                          <m:sSubPr>
                            <m:ctrlPr>
                              <a:rPr lang="pt-BR" sz="2000" b="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lang="pt-BR" sz="2000" b="0" i="1">
                                <a:latin typeface="Cambria Math"/>
                              </a:rPr>
                              <m:t>𝑃</m:t>
                            </m:r>
                          </m:e>
                          <m:sub>
                            <m:r>
                              <a:rPr lang="pt-BR" sz="2000" b="0" i="1">
                                <a:latin typeface="Cambria Math"/>
                              </a:rPr>
                              <m:t>𝑡</m:t>
                            </m:r>
                          </m:sub>
                        </m:sSub>
                        <m:r>
                          <a:rPr lang="pt-BR" sz="2000" b="0" i="1">
                            <a:latin typeface="Cambria Math"/>
                          </a:rPr>
                          <m:t>𝐴</m:t>
                        </m:r>
                      </m:den>
                    </m:f>
                    <m:r>
                      <a:rPr lang="pt-BR" sz="20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pt-BR" sz="2000" b="0" i="1">
                            <a:latin typeface="Cambria Math"/>
                          </a:rPr>
                        </m:ctrlPr>
                      </m:fPr>
                      <m:num>
                        <m:r>
                          <a:rPr lang="pt-BR" sz="2000" b="0" i="1">
                            <a:latin typeface="Cambria Math"/>
                          </a:rPr>
                          <m:t>𝑀</m:t>
                        </m:r>
                        <m:rad>
                          <m:radPr>
                            <m:degHide m:val="on"/>
                            <m:ctrlPr>
                              <a:rPr lang="pt-BR" sz="2000" b="0" i="1">
                                <a:latin typeface="Cambria Math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type m:val="lin"/>
                                <m:ctrlPr>
                                  <a:rPr lang="pt-BR" sz="2000" b="0" i="1">
                                    <a:latin typeface="Cambria Math"/>
                                  </a:rPr>
                                </m:ctrlPr>
                              </m:fPr>
                              <m:num>
                                <m:r>
                                  <a:rPr lang="pt-BR" sz="2000" b="0" i="1">
                                    <a:latin typeface="Cambria Math"/>
                                    <a:ea typeface="Cambria Math"/>
                                  </a:rPr>
                                  <m:t>𝛾</m:t>
                                </m:r>
                              </m:num>
                              <m:den>
                                <m:r>
                                  <a:rPr lang="pt-BR" sz="2000" b="0" i="1">
                                    <a:latin typeface="Cambria Math"/>
                                  </a:rPr>
                                  <m:t>𝑅</m:t>
                                </m:r>
                              </m:den>
                            </m:f>
                          </m:e>
                        </m:rad>
                      </m:num>
                      <m:den>
                        <m:sSup>
                          <m:sSupPr>
                            <m:ctrlPr>
                              <a:rPr lang="pt-BR" sz="2000" b="0" i="1">
                                <a:latin typeface="Cambria Math"/>
                              </a:rPr>
                            </m:ctrlPr>
                          </m:sSupPr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pt-BR" sz="20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𝛾</m:t>
                                    </m:r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−1)/2</m:t>
                                    </m:r>
                                  </m:e>
                                </m:d>
                                <m:sSup>
                                  <m:sSupPr>
                                    <m:ctrlP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e>
                                  <m:sup>
                                    <m:r>
                                      <a:rPr lang="pt-BR" sz="20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d>
                              <m:dPr>
                                <m:ctrlPr>
                                  <a:rPr lang="pt-BR" sz="2000" b="0" i="1">
                                    <a:latin typeface="Cambria Math"/>
                                  </a:rPr>
                                </m:ctrlPr>
                              </m:dPr>
                              <m:e>
                                <m:r>
                                  <a:rPr lang="pt-BR" sz="2000" b="0" i="1">
                                    <a:latin typeface="Cambria Math"/>
                                    <a:ea typeface="Cambria Math"/>
                                  </a:rPr>
                                  <m:t>𝛾</m:t>
                                </m:r>
                                <m:r>
                                  <a:rPr lang="pt-BR" sz="2000" b="0" i="1">
                                    <a:latin typeface="Cambria Math"/>
                                    <a:ea typeface="Cambria Math"/>
                                  </a:rPr>
                                  <m:t>+1</m:t>
                                </m:r>
                              </m:e>
                            </m:d>
                            <m:r>
                              <a:rPr lang="pt-BR" sz="2000" b="0" i="1">
                                <a:latin typeface="Cambria Math"/>
                              </a:rPr>
                              <m:t>/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pt-BR" sz="2000" b="0" i="1">
                                    <a:latin typeface="Cambria Math"/>
                                  </a:rPr>
                                </m:ctrlPr>
                              </m:dPr>
                              <m:e>
                                <m:r>
                                  <a:rPr lang="pt-BR" sz="2000" b="0" i="1">
                                    <a:latin typeface="Cambria Math"/>
                                  </a:rPr>
                                  <m:t>2(</m:t>
                                </m:r>
                                <m:r>
                                  <a:rPr lang="pt-BR" sz="2000" b="0" i="1">
                                    <a:latin typeface="Cambria Math"/>
                                    <a:ea typeface="Cambria Math"/>
                                  </a:rPr>
                                  <m:t>𝛾</m:t>
                                </m:r>
                                <m:r>
                                  <a:rPr lang="pt-BR" sz="2000" b="0" i="1">
                                    <a:latin typeface="Cambria Math"/>
                                    <a:ea typeface="Cambria Math"/>
                                  </a:rPr>
                                  <m:t>−1)</m:t>
                                </m:r>
                              </m:e>
                            </m:d>
                          </m:sup>
                        </m:sSup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1266825" y="1419225"/>
              <a:ext cx="5867400" cy="82817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pt-BR" sz="2000" b="0" i="0">
                  <a:latin typeface="Cambria Math"/>
                </a:rPr>
                <a:t>𝑀𝐹𝑃=(𝑚 ̇√(𝑇_𝑡 ))/(𝑃_𝑡 𝐴)=(𝑀√(</a:t>
              </a:r>
              <a:r>
                <a:rPr lang="pt-BR" sz="2000" b="0" i="0">
                  <a:latin typeface="Cambria Math"/>
                  <a:ea typeface="Cambria Math"/>
                </a:rPr>
                <a:t>𝛾∕</a:t>
              </a:r>
              <a:r>
                <a:rPr lang="pt-BR" sz="2000" b="0" i="0">
                  <a:latin typeface="Cambria Math"/>
                </a:rPr>
                <a:t>𝑅))/</a:t>
              </a:r>
              <a:r>
                <a:rPr lang="pt-BR" sz="20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{1+[(𝛾−1)/2] 𝑀^2 }^((</a:t>
              </a:r>
              <a:r>
                <a:rPr lang="pt-BR" sz="2000" b="0" i="0">
                  <a:latin typeface="Cambria Math"/>
                  <a:ea typeface="Cambria Math"/>
                </a:rPr>
                <a:t>𝛾+1)</a:t>
              </a:r>
              <a:r>
                <a:rPr lang="pt-BR" sz="2000" b="0" i="0">
                  <a:latin typeface="Cambria Math"/>
                </a:rPr>
                <a:t>/[2(</a:t>
              </a:r>
              <a:r>
                <a:rPr lang="pt-BR" sz="2000" b="0" i="0">
                  <a:latin typeface="Cambria Math"/>
                  <a:ea typeface="Cambria Math"/>
                </a:rPr>
                <a:t>𝛾−1)] ) </a:t>
              </a:r>
              <a:endParaRPr lang="en-US" sz="20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552450</xdr:colOff>
          <xdr:row>6</xdr:row>
          <xdr:rowOff>142875</xdr:rowOff>
        </xdr:from>
        <xdr:to>
          <xdr:col>6</xdr:col>
          <xdr:colOff>657225</xdr:colOff>
          <xdr:row>11</xdr:row>
          <xdr:rowOff>123825</xdr:rowOff>
        </xdr:to>
        <xdr:sp macro="" textlink="">
          <xdr:nvSpPr>
            <xdr:cNvPr id="5121" name="Objeto 3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495300</xdr:colOff>
          <xdr:row>6</xdr:row>
          <xdr:rowOff>38100</xdr:rowOff>
        </xdr:from>
        <xdr:to>
          <xdr:col>18</xdr:col>
          <xdr:colOff>114300</xdr:colOff>
          <xdr:row>12</xdr:row>
          <xdr:rowOff>133350</xdr:rowOff>
        </xdr:to>
        <xdr:sp macro="" textlink="">
          <xdr:nvSpPr>
            <xdr:cNvPr id="5122" name="Objeto 5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8:P25"/>
  <sheetViews>
    <sheetView topLeftCell="A2" zoomScale="120" zoomScaleNormal="120" workbookViewId="0">
      <selection activeCell="N16" sqref="N16"/>
    </sheetView>
  </sheetViews>
  <sheetFormatPr defaultRowHeight="15" x14ac:dyDescent="0.25"/>
  <sheetData>
    <row r="8" spans="2:16" x14ac:dyDescent="0.25">
      <c r="G8" s="7"/>
      <c r="H8" s="7"/>
      <c r="I8" s="7"/>
      <c r="J8" s="7"/>
      <c r="K8" s="7"/>
      <c r="L8" s="7"/>
      <c r="M8" s="7"/>
      <c r="N8" s="7"/>
      <c r="O8" s="7"/>
      <c r="P8" s="7"/>
    </row>
    <row r="9" spans="2:16" x14ac:dyDescent="0.25">
      <c r="G9" s="7"/>
      <c r="H9" s="7"/>
      <c r="I9" s="7"/>
      <c r="J9" s="7"/>
      <c r="K9" s="7"/>
      <c r="L9" s="7"/>
      <c r="M9" s="7"/>
      <c r="N9" s="7"/>
      <c r="O9" s="7"/>
      <c r="P9" s="7"/>
    </row>
    <row r="10" spans="2:16" ht="18.75" x14ac:dyDescent="0.3">
      <c r="B10" s="2" t="s">
        <v>0</v>
      </c>
      <c r="C10" s="8">
        <v>1</v>
      </c>
      <c r="D10" s="2"/>
      <c r="E10" s="2" t="s">
        <v>17</v>
      </c>
      <c r="F10" s="8">
        <v>1.2</v>
      </c>
      <c r="G10" s="7"/>
      <c r="H10" s="7"/>
      <c r="I10" s="7"/>
      <c r="J10" s="7"/>
      <c r="K10" s="2" t="s">
        <v>0</v>
      </c>
      <c r="L10" s="8">
        <v>1</v>
      </c>
      <c r="M10" s="7"/>
      <c r="N10" s="2" t="s">
        <v>18</v>
      </c>
      <c r="O10" s="18">
        <f>1/0.907969405378732</f>
        <v>1.1013586956521737</v>
      </c>
      <c r="P10" s="7"/>
    </row>
    <row r="11" spans="2:16" ht="18.75" x14ac:dyDescent="0.3">
      <c r="B11" s="2" t="s">
        <v>2</v>
      </c>
      <c r="C11" s="8">
        <v>1.4</v>
      </c>
      <c r="D11" s="2"/>
      <c r="E11" s="2" t="s">
        <v>2</v>
      </c>
      <c r="F11" s="8">
        <v>1.4</v>
      </c>
      <c r="G11" s="7"/>
      <c r="H11" s="7"/>
      <c r="I11" s="7"/>
      <c r="J11" s="7"/>
      <c r="K11" s="2" t="s">
        <v>2</v>
      </c>
      <c r="L11" s="8">
        <v>1.4</v>
      </c>
      <c r="M11" s="7"/>
      <c r="N11" s="2" t="s">
        <v>2</v>
      </c>
      <c r="O11" s="8">
        <v>1.4</v>
      </c>
      <c r="P11" s="7"/>
    </row>
    <row r="12" spans="2:16" ht="18.75" x14ac:dyDescent="0.3">
      <c r="B12" s="2" t="s">
        <v>17</v>
      </c>
      <c r="C12" s="9">
        <f>1+(C11-1)/2*C10^2</f>
        <v>1.2</v>
      </c>
      <c r="D12" s="2"/>
      <c r="E12" s="2" t="s">
        <v>0</v>
      </c>
      <c r="F12" s="9">
        <f>SQRT((F10-1)*2/(F11-1))</f>
        <v>1</v>
      </c>
      <c r="G12" s="7"/>
      <c r="H12" s="7"/>
      <c r="I12" s="7"/>
      <c r="J12" s="7"/>
      <c r="K12" s="2" t="s">
        <v>18</v>
      </c>
      <c r="L12" s="9">
        <f>(1+(L11-1)/2*L10^2)^(L11/(L11-1))</f>
        <v>1.8929291587378541</v>
      </c>
      <c r="M12" s="7"/>
      <c r="N12" s="2" t="s">
        <v>0</v>
      </c>
      <c r="O12" s="9">
        <f>SQRT((O10^((O11-1)/O11)-1)*2/(O11-1))</f>
        <v>0.37395277563235219</v>
      </c>
      <c r="P12" s="7"/>
    </row>
    <row r="13" spans="2:16" ht="18.75" x14ac:dyDescent="0.3">
      <c r="B13" s="2" t="s">
        <v>18</v>
      </c>
      <c r="C13" s="13">
        <f>(1+(C11-1)/2*C10^2)^(C11/(C11-1))</f>
        <v>1.8929291587378541</v>
      </c>
      <c r="D13" s="2"/>
      <c r="E13" s="2" t="s">
        <v>18</v>
      </c>
      <c r="F13" s="13">
        <f>(1+(F11-1)/2*F12^2)^(F11/(F11-1))</f>
        <v>1.8929291587378541</v>
      </c>
      <c r="G13" s="7"/>
      <c r="H13" s="7"/>
      <c r="I13" s="7"/>
      <c r="J13" s="7"/>
      <c r="K13" s="12" t="s">
        <v>17</v>
      </c>
      <c r="L13" s="13">
        <f>(1+(L11-1)/2*L10^2)</f>
        <v>1.2</v>
      </c>
      <c r="M13" s="7"/>
      <c r="N13" s="12" t="s">
        <v>17</v>
      </c>
      <c r="O13" s="13">
        <f>(1+(O11-1)/2*O12^2)</f>
        <v>1.0279681356806281</v>
      </c>
      <c r="P13" s="7"/>
    </row>
    <row r="14" spans="2:16" ht="18.75" x14ac:dyDescent="0.3">
      <c r="B14" s="2"/>
      <c r="C14" s="2"/>
      <c r="D14" s="2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2:16" ht="18.75" x14ac:dyDescent="0.3">
      <c r="B15" s="2"/>
      <c r="C15" s="2"/>
      <c r="D15" s="2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2:16" ht="18.75" x14ac:dyDescent="0.3">
      <c r="B16" s="2"/>
      <c r="C16" s="2"/>
      <c r="D16" s="2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18.75" x14ac:dyDescent="0.3">
      <c r="B17" s="2"/>
      <c r="C17" s="2"/>
      <c r="D17" s="2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x14ac:dyDescent="0.25"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2:16" x14ac:dyDescent="0.25"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2:16" x14ac:dyDescent="0.25"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2:16" x14ac:dyDescent="0.25"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2:16" x14ac:dyDescent="0.25"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2:16" x14ac:dyDescent="0.25"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2:16" x14ac:dyDescent="0.25"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2:16" x14ac:dyDescent="0.25">
      <c r="G25" s="7"/>
      <c r="H25" s="7"/>
      <c r="I25" s="7"/>
      <c r="J25" s="7"/>
      <c r="K25" s="7"/>
      <c r="L25" s="7"/>
      <c r="M25" s="7"/>
      <c r="N25" s="7"/>
      <c r="O25" s="7"/>
      <c r="P25" s="7"/>
    </row>
  </sheetData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4:M11"/>
  <sheetViews>
    <sheetView tabSelected="1" zoomScale="150" zoomScaleNormal="150" workbookViewId="0">
      <selection activeCell="I14" sqref="I14"/>
    </sheetView>
  </sheetViews>
  <sheetFormatPr defaultRowHeight="15" x14ac:dyDescent="0.25"/>
  <cols>
    <col min="2" max="2" width="8.140625" customWidth="1"/>
    <col min="3" max="3" width="10.85546875" customWidth="1"/>
  </cols>
  <sheetData>
    <row r="4" spans="3:13" x14ac:dyDescent="0.25">
      <c r="C4" s="31" t="s">
        <v>19</v>
      </c>
      <c r="D4" s="31"/>
    </row>
    <row r="5" spans="3:13" x14ac:dyDescent="0.25">
      <c r="C5" s="31" t="s">
        <v>24</v>
      </c>
      <c r="D5" s="31"/>
    </row>
    <row r="8" spans="3:13" x14ac:dyDescent="0.25">
      <c r="C8" s="18" t="s">
        <v>2</v>
      </c>
      <c r="D8" s="18">
        <v>1.4</v>
      </c>
    </row>
    <row r="9" spans="3:13" x14ac:dyDescent="0.25">
      <c r="C9" s="24" t="s">
        <v>23</v>
      </c>
      <c r="D9" s="22">
        <f>(2/(D8+1))^(D8/(D8-1))</f>
        <v>0.52828178771717416</v>
      </c>
      <c r="E9" s="18" t="s">
        <v>33</v>
      </c>
      <c r="F9" s="23">
        <f>1/J10</f>
        <v>1.8929291587378538</v>
      </c>
      <c r="I9" s="18" t="s">
        <v>20</v>
      </c>
      <c r="J9" s="18">
        <v>101325</v>
      </c>
      <c r="K9" t="s">
        <v>13</v>
      </c>
    </row>
    <row r="10" spans="3:13" x14ac:dyDescent="0.25">
      <c r="C10" s="18" t="s">
        <v>22</v>
      </c>
      <c r="D10" s="18">
        <v>101325</v>
      </c>
      <c r="E10" t="s">
        <v>13</v>
      </c>
      <c r="F10" s="20">
        <f>D10/100000</f>
        <v>1.01325</v>
      </c>
      <c r="G10" t="s">
        <v>21</v>
      </c>
      <c r="I10" s="18" t="s">
        <v>23</v>
      </c>
      <c r="J10" s="19">
        <f>D9</f>
        <v>0.52828178771717416</v>
      </c>
    </row>
    <row r="11" spans="3:13" x14ac:dyDescent="0.25">
      <c r="C11" s="24" t="s">
        <v>20</v>
      </c>
      <c r="D11" s="21">
        <f>D10*D9</f>
        <v>53528.152140442675</v>
      </c>
      <c r="E11" s="7" t="s">
        <v>13</v>
      </c>
      <c r="F11" s="20">
        <f>D11/100000</f>
        <v>0.53528152140442675</v>
      </c>
      <c r="G11" t="s">
        <v>21</v>
      </c>
      <c r="I11" s="18" t="s">
        <v>22</v>
      </c>
      <c r="J11" s="21">
        <f>J9/J10</f>
        <v>191801.04700911304</v>
      </c>
      <c r="K11" t="s">
        <v>13</v>
      </c>
      <c r="L11" s="23">
        <f>J11/100000</f>
        <v>1.9180104700911305</v>
      </c>
      <c r="M11" t="s">
        <v>21</v>
      </c>
    </row>
  </sheetData>
  <mergeCells count="2">
    <mergeCell ref="C4:D4"/>
    <mergeCell ref="C5:D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9:J14"/>
  <sheetViews>
    <sheetView zoomScale="140" zoomScaleNormal="140" workbookViewId="0">
      <selection activeCell="E14" sqref="E14"/>
    </sheetView>
  </sheetViews>
  <sheetFormatPr defaultRowHeight="15" x14ac:dyDescent="0.25"/>
  <cols>
    <col min="4" max="4" width="19.140625" customWidth="1"/>
    <col min="5" max="5" width="12.140625" customWidth="1"/>
  </cols>
  <sheetData>
    <row r="9" spans="4:10" ht="18.75" x14ac:dyDescent="0.3">
      <c r="D9" s="10" t="s">
        <v>0</v>
      </c>
      <c r="E9" s="17">
        <v>0.80031187269526061</v>
      </c>
      <c r="F9" s="2"/>
      <c r="G9" s="2"/>
      <c r="H9" s="2"/>
      <c r="I9" s="10" t="s">
        <v>2</v>
      </c>
      <c r="J9" s="14">
        <v>1.4</v>
      </c>
    </row>
    <row r="10" spans="4:10" ht="18.75" x14ac:dyDescent="0.3">
      <c r="D10" s="10" t="s">
        <v>1</v>
      </c>
      <c r="E10" s="17">
        <v>1.038</v>
      </c>
      <c r="F10" s="2"/>
      <c r="G10" s="2"/>
      <c r="H10" s="2"/>
      <c r="I10" s="10" t="s">
        <v>0</v>
      </c>
      <c r="J10" s="15">
        <v>0.8</v>
      </c>
    </row>
    <row r="11" spans="4:10" ht="18.75" x14ac:dyDescent="0.3">
      <c r="D11" s="10" t="s">
        <v>3</v>
      </c>
      <c r="E11" s="17">
        <f>1/E9*(2/(J9+1)*(1+(J9-1)/2*E9*E9))^((J9+1)/2/(J9-1))</f>
        <v>1.0381009546407625</v>
      </c>
      <c r="F11" s="2"/>
      <c r="G11" s="2"/>
      <c r="H11" s="2"/>
      <c r="I11" s="15" t="s">
        <v>1</v>
      </c>
      <c r="J11" s="15">
        <f>1/J10*(2/(J9+1)*(1+(J9-1)/2*J10*J10))^((J9+1)/2/(J9-1))</f>
        <v>1.0382299999999998</v>
      </c>
    </row>
    <row r="12" spans="4:10" ht="18.75" x14ac:dyDescent="0.3">
      <c r="D12" s="10" t="s">
        <v>4</v>
      </c>
      <c r="E12" s="16">
        <f>E11-E10</f>
        <v>1.0095464076242955E-4</v>
      </c>
      <c r="F12" s="32" t="s">
        <v>5</v>
      </c>
      <c r="G12" s="32"/>
      <c r="H12" s="32"/>
    </row>
    <row r="14" spans="4:10" ht="15.75" x14ac:dyDescent="0.25">
      <c r="D14" s="1"/>
      <c r="E14" s="1"/>
      <c r="F14" s="1"/>
      <c r="G14" s="1"/>
    </row>
  </sheetData>
  <mergeCells count="1">
    <mergeCell ref="F12:H12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7:L19"/>
  <sheetViews>
    <sheetView topLeftCell="A4" zoomScale="120" zoomScaleNormal="120" workbookViewId="0">
      <selection activeCell="E22" sqref="E22"/>
    </sheetView>
  </sheetViews>
  <sheetFormatPr defaultRowHeight="15" x14ac:dyDescent="0.25"/>
  <cols>
    <col min="3" max="3" width="12.140625" customWidth="1"/>
    <col min="7" max="7" width="9.85546875" bestFit="1" customWidth="1"/>
    <col min="11" max="11" width="15.42578125" bestFit="1" customWidth="1"/>
  </cols>
  <sheetData>
    <row r="7" spans="2:12" x14ac:dyDescent="0.2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2:12" x14ac:dyDescent="0.25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2:12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2:12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2:12" x14ac:dyDescent="0.25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2:12" x14ac:dyDescent="0.25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2:12" x14ac:dyDescent="0.2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5" spans="2:12" ht="18.75" x14ac:dyDescent="0.3">
      <c r="C15" s="2"/>
      <c r="D15" s="2"/>
      <c r="E15" s="2"/>
      <c r="F15" s="2" t="s">
        <v>6</v>
      </c>
      <c r="G15" s="2">
        <v>101325</v>
      </c>
      <c r="H15" s="2" t="s">
        <v>13</v>
      </c>
      <c r="J15" s="2" t="s">
        <v>6</v>
      </c>
      <c r="K15" s="2">
        <v>101325</v>
      </c>
      <c r="L15" s="2" t="s">
        <v>13</v>
      </c>
    </row>
    <row r="16" spans="2:12" ht="18.75" x14ac:dyDescent="0.3">
      <c r="C16" s="2" t="s">
        <v>0</v>
      </c>
      <c r="D16" s="9">
        <v>0.37395277563235219</v>
      </c>
      <c r="E16" s="2"/>
      <c r="F16" s="2" t="s">
        <v>7</v>
      </c>
      <c r="G16" s="2">
        <v>288.14999999999998</v>
      </c>
      <c r="H16" s="2" t="s">
        <v>14</v>
      </c>
      <c r="J16" s="2" t="s">
        <v>7</v>
      </c>
      <c r="K16" s="2">
        <v>288.14999999999998</v>
      </c>
      <c r="L16" s="2" t="s">
        <v>14</v>
      </c>
    </row>
    <row r="17" spans="3:12" ht="18.75" x14ac:dyDescent="0.3">
      <c r="C17" s="2" t="s">
        <v>2</v>
      </c>
      <c r="D17" s="2">
        <v>1.4</v>
      </c>
      <c r="E17" s="2"/>
      <c r="F17" s="2" t="s">
        <v>8</v>
      </c>
      <c r="G17" s="5">
        <v>3.0000000000000001E-3</v>
      </c>
      <c r="H17" s="2" t="s">
        <v>15</v>
      </c>
      <c r="J17" s="2" t="s">
        <v>9</v>
      </c>
      <c r="K17" s="5">
        <v>0.60929999999999995</v>
      </c>
      <c r="L17" s="2" t="s">
        <v>16</v>
      </c>
    </row>
    <row r="18" spans="3:12" ht="18.75" x14ac:dyDescent="0.3">
      <c r="C18" s="2" t="s">
        <v>11</v>
      </c>
      <c r="D18" s="3">
        <v>286.85714285714278</v>
      </c>
      <c r="E18" s="2"/>
      <c r="F18" s="2" t="s">
        <v>10</v>
      </c>
      <c r="G18" s="5">
        <f>D19</f>
        <v>2.4049662498163669E-2</v>
      </c>
      <c r="H18" s="2"/>
      <c r="J18" s="2" t="s">
        <v>10</v>
      </c>
      <c r="K18" s="5">
        <f>D19</f>
        <v>2.4049662498163669E-2</v>
      </c>
      <c r="L18" s="2"/>
    </row>
    <row r="19" spans="3:12" ht="18.75" x14ac:dyDescent="0.3">
      <c r="C19" s="2" t="s">
        <v>12</v>
      </c>
      <c r="D19" s="6">
        <f>D16*SQRT(D17/D18)/((1+(D17-1)/2*D16^2)^((D17+1)/(2*(D17-1))))</f>
        <v>2.4049662498163669E-2</v>
      </c>
      <c r="E19" s="2"/>
      <c r="F19" s="2" t="s">
        <v>9</v>
      </c>
      <c r="G19" s="4">
        <f>G18/SQRT(G16)*G15*G17</f>
        <v>0.43066298003780284</v>
      </c>
      <c r="H19" s="2" t="s">
        <v>16</v>
      </c>
      <c r="J19" s="2" t="s">
        <v>8</v>
      </c>
      <c r="K19" s="6">
        <f>K17*SQRT(K16)/K15/K18</f>
        <v>4.2443861783512254E-3</v>
      </c>
      <c r="L19" s="2" t="s">
        <v>15</v>
      </c>
    </row>
  </sheetData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Q22"/>
  <sheetViews>
    <sheetView topLeftCell="A5" zoomScaleNormal="100" workbookViewId="0">
      <selection activeCell="K22" sqref="K22"/>
    </sheetView>
  </sheetViews>
  <sheetFormatPr defaultRowHeight="15" x14ac:dyDescent="0.25"/>
  <cols>
    <col min="2" max="2" width="11.85546875" bestFit="1" customWidth="1"/>
    <col min="3" max="3" width="10.42578125" bestFit="1" customWidth="1"/>
    <col min="7" max="7" width="12.28515625" customWidth="1"/>
    <col min="10" max="10" width="11.7109375" bestFit="1" customWidth="1"/>
    <col min="11" max="11" width="10.85546875" bestFit="1" customWidth="1"/>
  </cols>
  <sheetData>
    <row r="6" spans="2:17" ht="18.75" x14ac:dyDescent="0.3">
      <c r="B6" s="33" t="s">
        <v>30</v>
      </c>
      <c r="C6" s="33"/>
      <c r="D6" s="33"/>
      <c r="E6" s="33"/>
      <c r="F6" s="33"/>
      <c r="G6" s="33"/>
      <c r="J6" s="33" t="s">
        <v>31</v>
      </c>
      <c r="K6" s="33"/>
      <c r="L6" s="33"/>
      <c r="M6" s="33"/>
      <c r="N6" s="33"/>
      <c r="O6" s="33"/>
      <c r="P6" s="33"/>
      <c r="Q6" s="33"/>
    </row>
    <row r="14" spans="2:17" ht="18.75" x14ac:dyDescent="0.3">
      <c r="B14" s="2" t="s">
        <v>7</v>
      </c>
      <c r="C14" s="25">
        <v>288.14999999999998</v>
      </c>
      <c r="D14" s="2" t="s">
        <v>14</v>
      </c>
      <c r="E14" s="1"/>
      <c r="J14" s="2" t="s">
        <v>7</v>
      </c>
      <c r="K14" s="25">
        <v>288.14999999999998</v>
      </c>
      <c r="L14" s="2" t="s">
        <v>14</v>
      </c>
    </row>
    <row r="15" spans="2:17" ht="18.75" x14ac:dyDescent="0.3">
      <c r="B15" s="2" t="s">
        <v>6</v>
      </c>
      <c r="C15" s="29">
        <v>101325</v>
      </c>
      <c r="D15" s="2" t="s">
        <v>13</v>
      </c>
      <c r="E15" s="1"/>
      <c r="J15" s="2" t="s">
        <v>6</v>
      </c>
      <c r="K15" s="29">
        <v>101325</v>
      </c>
      <c r="L15" s="2" t="s">
        <v>13</v>
      </c>
    </row>
    <row r="16" spans="2:17" ht="18.75" x14ac:dyDescent="0.3">
      <c r="B16" s="2" t="s">
        <v>26</v>
      </c>
      <c r="C16" s="28">
        <v>3.0000000000000001E-3</v>
      </c>
      <c r="D16" s="2" t="s">
        <v>15</v>
      </c>
      <c r="E16" s="1"/>
      <c r="J16" s="2" t="s">
        <v>8</v>
      </c>
      <c r="K16" s="28">
        <v>3.0000000000000001E-3</v>
      </c>
      <c r="L16" s="2" t="s">
        <v>15</v>
      </c>
    </row>
    <row r="17" spans="2:12" ht="18.75" x14ac:dyDescent="0.3">
      <c r="B17" s="2" t="s">
        <v>2</v>
      </c>
      <c r="C17" s="25">
        <v>1.4</v>
      </c>
      <c r="D17" s="2"/>
      <c r="E17" s="1"/>
      <c r="J17" s="2" t="s">
        <v>25</v>
      </c>
      <c r="K17" s="29">
        <v>92000</v>
      </c>
      <c r="L17" s="2" t="s">
        <v>13</v>
      </c>
    </row>
    <row r="18" spans="2:12" ht="18.75" x14ac:dyDescent="0.3">
      <c r="B18" s="2" t="s">
        <v>11</v>
      </c>
      <c r="C18" s="25">
        <v>286.86</v>
      </c>
      <c r="D18" s="2" t="s">
        <v>28</v>
      </c>
      <c r="E18" s="1"/>
      <c r="J18" s="2" t="s">
        <v>32</v>
      </c>
      <c r="K18" s="25">
        <f>K17/K15</f>
        <v>0.90796940537873183</v>
      </c>
      <c r="L18" s="2"/>
    </row>
    <row r="19" spans="2:12" ht="18.75" x14ac:dyDescent="0.3">
      <c r="B19" s="2" t="s">
        <v>27</v>
      </c>
      <c r="C19" s="26">
        <f>SQRT(C17*C18*C14)</f>
        <v>340.17964753935524</v>
      </c>
      <c r="D19" s="2" t="s">
        <v>29</v>
      </c>
      <c r="E19" s="1"/>
      <c r="J19" s="2" t="s">
        <v>2</v>
      </c>
      <c r="K19" s="25">
        <v>1.4</v>
      </c>
      <c r="L19" s="2"/>
    </row>
    <row r="20" spans="2:12" ht="18.75" x14ac:dyDescent="0.3">
      <c r="B20" s="2" t="s">
        <v>9</v>
      </c>
      <c r="C20" s="27">
        <f>C15*C16/C19*C17*(2/(C17+1))^((C17+1)/2/(C17-1))</f>
        <v>0.72395877721689705</v>
      </c>
      <c r="D20" s="2" t="s">
        <v>16</v>
      </c>
      <c r="E20" s="1"/>
      <c r="J20" s="2" t="s">
        <v>11</v>
      </c>
      <c r="K20" s="25">
        <v>286.86</v>
      </c>
      <c r="L20" s="2" t="s">
        <v>28</v>
      </c>
    </row>
    <row r="21" spans="2:12" ht="18.75" x14ac:dyDescent="0.3">
      <c r="J21" s="2" t="s">
        <v>27</v>
      </c>
      <c r="K21" s="26">
        <f>SQRT(K19*K20*K14)</f>
        <v>340.17964753935524</v>
      </c>
      <c r="L21" s="2" t="s">
        <v>29</v>
      </c>
    </row>
    <row r="22" spans="2:12" ht="18.75" x14ac:dyDescent="0.3">
      <c r="J22" s="2" t="s">
        <v>9</v>
      </c>
      <c r="K22" s="30">
        <f>K15*K16/K21*K18^(1/K19)*(2*K19*K19/(K19-1)*(1-K18^((K19-1)/K19)))^0.5</f>
        <v>0.43066083531786759</v>
      </c>
      <c r="L22" s="2" t="s">
        <v>16</v>
      </c>
    </row>
  </sheetData>
  <mergeCells count="2">
    <mergeCell ref="B6:G6"/>
    <mergeCell ref="J6:Q6"/>
  </mergeCells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Equation.3" shapeId="5121" r:id="rId4">
          <objectPr defaultSize="0" autoPict="0" r:id="rId5">
            <anchor moveWithCells="1" sizeWithCells="1">
              <from>
                <xdr:col>0</xdr:col>
                <xdr:colOff>552450</xdr:colOff>
                <xdr:row>6</xdr:row>
                <xdr:rowOff>142875</xdr:rowOff>
              </from>
              <to>
                <xdr:col>6</xdr:col>
                <xdr:colOff>657225</xdr:colOff>
                <xdr:row>11</xdr:row>
                <xdr:rowOff>123825</xdr:rowOff>
              </to>
            </anchor>
          </objectPr>
        </oleObject>
      </mc:Choice>
      <mc:Fallback>
        <oleObject progId="Equation.3" shapeId="5121" r:id="rId4"/>
      </mc:Fallback>
    </mc:AlternateContent>
    <mc:AlternateContent xmlns:mc="http://schemas.openxmlformats.org/markup-compatibility/2006">
      <mc:Choice Requires="x14">
        <oleObject progId="Equation.3" shapeId="5122" r:id="rId6">
          <objectPr defaultSize="0" autoPict="0" r:id="rId7">
            <anchor moveWithCells="1" sizeWithCells="1">
              <from>
                <xdr:col>7</xdr:col>
                <xdr:colOff>495300</xdr:colOff>
                <xdr:row>6</xdr:row>
                <xdr:rowOff>38100</xdr:rowOff>
              </from>
              <to>
                <xdr:col>18</xdr:col>
                <xdr:colOff>114300</xdr:colOff>
                <xdr:row>12</xdr:row>
                <xdr:rowOff>133350</xdr:rowOff>
              </to>
            </anchor>
          </objectPr>
        </oleObject>
      </mc:Choice>
      <mc:Fallback>
        <oleObject progId="Equation.3" shapeId="5122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IsoS</vt:lpstr>
      <vt:lpstr>Pcritica</vt:lpstr>
      <vt:lpstr>AreaVariavel</vt:lpstr>
      <vt:lpstr>MFP</vt:lpstr>
      <vt:lpstr>VazaoMassica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Mautone</dc:creator>
  <cp:lastModifiedBy>mautone</cp:lastModifiedBy>
  <cp:lastPrinted>2013-09-03T13:36:33Z</cp:lastPrinted>
  <dcterms:created xsi:type="dcterms:W3CDTF">2013-04-17T13:34:16Z</dcterms:created>
  <dcterms:modified xsi:type="dcterms:W3CDTF">2016-06-05T15:39:46Z</dcterms:modified>
</cp:coreProperties>
</file>